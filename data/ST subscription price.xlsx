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20250707" sheetId="1" r:id="rId1"/>
    <sheet name="Yearly" sheetId="2" r:id="rId2"/>
    <sheet name="Monthly" sheetId="3" r:id="rId3"/>
  </sheets>
  <calcPr calcId="0"/>
</workbook>
</file>

<file path=xl/sharedStrings.xml><?xml version="1.0" encoding="utf-8"?>
<sst xmlns="http://schemas.openxmlformats.org/spreadsheetml/2006/main">
  <si>
    <t>Countries or Regions</t>
  </si>
  <si>
    <t>Monthly Price（US base）</t>
  </si>
  <si>
    <t>Yearly Price (2nd)</t>
  </si>
  <si>
    <t>Original yearly price</t>
  </si>
  <si>
    <t>discount</t>
  </si>
  <si>
    <t>Afghanistan</t>
  </si>
  <si>
    <t>Albania</t>
  </si>
  <si>
    <t>Algeria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</si>
  <si>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</si>
  <si>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</si>
  <si>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</si>
  <si>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</si>
  <si>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</si>
  <si>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</si>
  <si>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</si>
  <si>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</si>
  <si>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</si>
  <si>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</si>
  <si>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</si>
  <si>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</si>
  <si>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</si>
  <si>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</si>
  <si>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</si>
  <si>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</si>
  <si>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</si>
  <si>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</si>
  <si>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</si>
  <si>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</si>
  <si>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</si>
  <si>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</si>
  <si>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</si>
  <si>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</si>
  <si>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</si>
  <si>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</si>
  <si>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</si>
  <si>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</si>
  <si>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</si>
  <si>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</si>
  <si>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Chad</t>
  </si>
  <si>
    <t>Chile</t>
  </si>
  <si>
    <t>China mainland</t>
  </si>
  <si>
    <t>Colombia</t>
  </si>
  <si>
    <t>Congo, Democratic Republic of the</t>
  </si>
  <si>
    <t>Congo, Republic of the</t>
  </si>
  <si>
    <t>Costa Rica</t>
  </si>
  <si>
    <t>Côte d’Ivoire</t>
  </si>
  <si>
    <t>Croatia</t>
  </si>
  <si>
    <t>Cyprus</t>
  </si>
  <si>
    <t>Czech Republic</t>
  </si>
  <si>
    <t>Denmark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</si>
  <si>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</si>
  <si>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</si>
  <si>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</si>
  <si>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</si>
  <si>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</si>
  <si>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</si>
  <si>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</si>
  <si>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</si>
  <si>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</si>
  <si>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</si>
  <si>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</si>
  <si>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</si>
  <si>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</si>
  <si>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</si>
  <si>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</si>
  <si>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</si>
  <si>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</si>
  <si>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</si>
  <si>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Guinea-Bissau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</si>
  <si>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</si>
  <si>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</si>
  <si>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</si>
  <si>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</si>
  <si>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</si>
  <si>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</si>
  <si>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</si>
  <si>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</si>
  <si>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</si>
  <si>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</si>
  <si>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</si>
  <si>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</si>
  <si>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</si>
  <si>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</si>
  <si>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</si>
  <si>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</si>
  <si>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</si>
  <si>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</si>
  <si>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</si>
  <si>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</si>
  <si>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</si>
  <si>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</si>
  <si>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</si>
  <si>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</si>
  <si>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</si>
  <si>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</si>
  <si>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</si>
  <si>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</si>
  <si>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</si>
  <si>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</si>
  <si>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</si>
  <si>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</si>
  <si>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</si>
  <si>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</si>
  <si>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</si>
  <si>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</si>
  <si>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</si>
  <si>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</si>
  <si>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</si>
  <si>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</si>
  <si>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</si>
  <si>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</si>
  <si>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</si>
  <si>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</si>
  <si>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</si>
  <si>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</si>
  <si>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</si>
  <si>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</si>
  <si>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</si>
  <si>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</si>
  <si>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</si>
  <si>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</si>
  <si>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</si>
  <si>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</si>
  <si>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</si>
  <si>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</si>
  <si>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</si>
  <si>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</si>
  <si>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</si>
  <si>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</si>
  <si>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</si>
  <si>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</si>
  <si>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</si>
  <si>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</si>
  <si>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</si>
  <si>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</si>
  <si>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</si>
  <si>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</si>
  <si>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</si>
  <si>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</si>
  <si>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</si>
  <si>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</si>
  <si>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</si>
  <si>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</si>
  <si>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</si>
  <si>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</si>
  <si>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</si>
  <si>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</si>
  <si>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</si>
  <si>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</si>
  <si>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</si>
  <si>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</si>
  <si>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</si>
  <si>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</si>
  <si>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</si>
  <si>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</si>
  <si>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</si>
  <si>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</si>
  <si>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Taiwan</t>
  </si>
  <si>
    <t>Tajikistan</t>
  </si>
  <si>
    <t>Tanzania</t>
  </si>
  <si>
    <t>Thailand</t>
  </si>
  <si>
    <t>Tonga</t>
  </si>
  <si>
    <t>Trinidad and Tobago</t>
  </si>
  <si>
    <t>Tunisia</t>
  </si>
  <si>
    <t>Türkiye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</si>
  <si>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</si>
  <si>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</si>
  <si>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</si>
  <si>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</si>
  <si>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</si>
  <si>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</si>
  <si>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</si>
  <si>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</si>
  <si>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</si>
  <si>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</si>
  <si>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</si>
  <si>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</si>
  <si>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</si>
  <si>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</si>
  <si>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</si>
  <si>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Currency Code</t>
  </si>
  <si>
    <t>Price (Starting)</t>
  </si>
  <si>
    <t>Year 1 Proceeds</t>
  </si>
  <si>
    <t>Year 2 Proceeds</t>
  </si>
  <si>
    <t>Price (1st)</t>
  </si>
  <si>
    <t>Price difference</t>
  </si>
  <si>
    <t>Price (2nd)</t>
  </si>
  <si>
    <t>USD</t>
  </si>
  <si>
    <t>AUD</t>
  </si>
  <si>
    <t>EUR</t>
  </si>
  <si>
    <t>BRL</t>
  </si>
  <si>
    <t>BGN</t>
  </si>
  <si>
    <t>CAD</t>
  </si>
  <si>
    <t>CLP</t>
  </si>
  <si>
    <t>CNY</t>
  </si>
  <si>
    <t>COP</t>
  </si>
  <si>
    <t>CZK</t>
  </si>
  <si>
    <t>DKK</t>
  </si>
  <si>
    <t>EGP</t>
  </si>
  <si>
    <t>HKD</t>
  </si>
  <si>
    <t>HUF</t>
  </si>
  <si>
    <t>INR</t>
  </si>
  <si>
    <t>IDR</t>
  </si>
  <si>
    <t>ILS</t>
  </si>
  <si>
    <t>JPY</t>
  </si>
  <si>
    <t>KZT</t>
  </si>
  <si>
    <t>KRW</t>
  </si>
  <si>
    <t>MYR</t>
  </si>
  <si>
    <t>MXN</t>
  </si>
  <si>
    <t>NZD</t>
  </si>
  <si>
    <t>NGN</t>
  </si>
  <si>
    <t>NOK</t>
  </si>
  <si>
    <t>PKR</t>
  </si>
  <si>
    <t>PEN</t>
  </si>
  <si>
    <t>PHP</t>
  </si>
  <si>
    <t>PLN</t>
  </si>
  <si>
    <t>QAR</t>
  </si>
  <si>
    <t>RON</t>
  </si>
  <si>
    <t>RUB</t>
  </si>
  <si>
    <t>SAR</t>
  </si>
  <si>
    <t>SGD</t>
  </si>
  <si>
    <t>ZAR</t>
  </si>
  <si>
    <t>SEK</t>
  </si>
  <si>
    <t>CHF</t>
  </si>
  <si>
    <t>TWD</t>
  </si>
  <si>
    <t>TZS</t>
  </si>
  <si>
    <t>THB</t>
  </si>
  <si>
    <t>TRY</t>
  </si>
  <si>
    <t>AED</t>
  </si>
  <si>
    <t>GBP</t>
  </si>
  <si>
    <t>VND</t>
  </si>
  <si>
    <t>Price（Starting）</t>
  </si>
  <si>
    <t>Price（Finland base）</t>
  </si>
  <si>
    <t>Price（US base）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</si>
</sst>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10"/>
      <color rgb="FF3076B6"/>
    </font>
    <font>
      <b/>
      <sz val="10"/>
      <color rgb="FF3076B6"/>
    </font>
  </fonts>
  <fills count="6">
    <fill>
      <patternFill patternType="none"/>
    </fill>
    <fill>
      <patternFill patternType="gray125"/>
    </fill>
    <fill>
      <patternFill patternType="solid">
        <fgColor rgb="FFB0B3B2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rgb="FFC5DF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9" fontId="4" fillId="0" borderId="0" xfId="0" applyNumberFormat="1" applyFont="1">
      <alignment vertical="center"/>
    </xf>
    <xf numFmtId="9" fontId="4" fillId="0" borderId="1" xfId="0" applyNumberFormat="1" applyFont="1" applyBorder="1" applyProtection="1">
      <alignment horizontal="left" vertical="top"/>
    </xf>
    <xf numFmtId="0" fontId="5" fillId="0" borderId="0" xfId="0" applyFont="1">
      <alignment horizontal="left" vertical="center"/>
    </xf>
    <xf numFmtId="0" fontId="6" fillId="0" borderId="0" xfId="0" applyFont="1">
      <alignment horizontal="left" vertical="center"/>
    </xf>
    <xf numFmtId="0" fontId="4" fillId="2" borderId="1" xfId="0" applyFont="1" applyFill="1" applyBorder="1" applyProtection="1">
      <alignment vertical="top"/>
    </xf>
    <xf numFmtId="0" fontId="4" fillId="0" borderId="1" xfId="0" applyFont="1" applyBorder="1" applyProtection="1">
      <alignment vertical="top"/>
    </xf>
    <xf numFmtId="0" fontId="6" fillId="0" borderId="0" xfId="0" applyFont="1">
      <alignment vertical="center"/>
    </xf>
    <xf numFmtId="0" fontId="4" fillId="2" borderId="1" xfId="0" applyFont="1" applyFill="1" applyBorder="1" applyProtection="1">
      <alignment horizontal="left" vertical="top"/>
    </xf>
    <xf numFmtId="0" fontId="6" fillId="2" borderId="1" xfId="0" applyFont="1" applyFill="1" applyBorder="1" applyProtection="1">
      <alignment horizontal="left" vertical="top"/>
    </xf>
    <xf numFmtId="0" fontId="5" fillId="2" borderId="1" xfId="0" applyFont="1" applyFill="1" applyBorder="1" applyProtection="1">
      <alignment horizontal="left" vertical="top"/>
    </xf>
    <xf numFmtId="0" fontId="5" fillId="2" borderId="1" xfId="0" applyFont="1" applyFill="1" applyBorder="1" applyProtection="1">
      <alignment vertical="top"/>
    </xf>
    <xf numFmtId="0" fontId="4" fillId="3" borderId="1" xfId="0" applyFont="1" applyFill="1" applyBorder="1" applyProtection="1">
      <alignment horizontal="left" vertical="top"/>
    </xf>
    <xf numFmtId="0" fontId="5" fillId="0" borderId="1" xfId="0" applyFont="1" applyBorder="1" applyProtection="1">
      <alignment vertical="top"/>
    </xf>
    <xf numFmtId="0" fontId="4" fillId="0" borderId="1" xfId="0" applyFont="1" applyBorder="1" applyProtection="1">
      <alignment horizontal="left" vertical="top"/>
    </xf>
    <xf numFmtId="0" fontId="6" fillId="0" borderId="1" xfId="0" applyFont="1" applyBorder="1" applyProtection="1">
      <alignment horizontal="left" vertical="top"/>
    </xf>
    <xf numFmtId="0" fontId="4" fillId="4" borderId="1" xfId="0" applyFont="1" applyFill="1" applyBorder="1" applyProtection="1">
      <alignment horizontal="left" vertical="top"/>
    </xf>
    <xf numFmtId="0" fontId="6" fillId="3" borderId="1" xfId="0" applyFont="1" applyFill="1" applyBorder="1" applyProtection="1">
      <alignment horizontal="left" vertical="top"/>
    </xf>
    <xf numFmtId="0" fontId="5" fillId="0" borderId="1" xfId="0" applyFont="1" applyBorder="1" applyProtection="1">
      <alignment horizontal="left" vertical="top"/>
    </xf>
    <xf numFmtId="0" fontId="7" fillId="0" borderId="1" xfId="0" applyFont="1" applyBorder="1" applyProtection="1">
      <alignment horizontal="left" vertical="top"/>
    </xf>
    <xf numFmtId="2" fontId="4" fillId="0" borderId="0" xfId="0" applyNumberFormat="1" applyFont="1">
      <alignment vertical="center"/>
    </xf>
    <xf numFmtId="9" fontId="4" fillId="0" borderId="0" xfId="0" applyNumberFormat="1" applyFont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top"/>
    </xf>
    <xf numFmtId="0" fontId="5" fillId="0" borderId="1" xfId="0" applyFont="1" applyBorder="1" applyProtection="1">
      <alignment horizontal="left" vertical="top"/>
    </xf>
    <xf numFmtId="9" fontId="4" fillId="0" borderId="1" xfId="0" applyNumberFormat="1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4" fillId="5" borderId="1" xfId="0" applyFont="1" applyFill="1" applyBorder="1" applyProtection="1">
      <alignment horizontal="left" vertical="top"/>
    </xf>
    <xf numFmtId="0" fontId="5" fillId="5" borderId="1" xfId="0" applyFont="1" applyFill="1" applyBorder="1" applyProtection="1">
      <alignment horizontal="left" vertical="top"/>
    </xf>
    <xf numFmtId="0" fontId="4" fillId="5" borderId="1" xfId="0" applyFont="1" applyFill="1" applyBorder="1" applyProtection="1">
      <alignment horizontal="left" vertical="center"/>
    </xf>
  </cellXfs>
  <cellStyles count="2">
    <cellStyle name="常规" xfId="0" builtinId="0"/>
    <cellStyle name="超链接" xfId="1" builtinId="8"/>
  </cellStyles>
  <dxfs count="2">
    <dxf>
      <font>
        <color rgb="FF25B059"/>
      </font>
      <fill>
        <patternFill>
          <bgColor rgb="FFC9EDD1"/>
        </patternFill>
      </fill>
    </dxf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6.3232421875"/>
    <col min="2" max="2" width="21.439453125" style="8"/>
    <col min="3" max="3" width="17.4990234375" customWidth="1"/>
    <col min="4" max="4" width="17.607421875" customWidth="1"/>
  </cols>
  <sheetData>
    <row r="1" ht="16.5" customHeight="1">
      <c r="A1" s="32" t="s">
        <v>0</v>
      </c>
      <c r="B1" s="33" t="s">
        <v>1</v>
      </c>
      <c r="C1" s="32" t="s">
        <v>2</v>
      </c>
      <c r="D1" s="34" t="s">
        <v>3</v>
      </c>
      <c r="E1" s="34" t="s">
        <v>4</v>
      </c>
    </row>
    <row r="2" ht="16.5" customHeight="1">
      <c r="A2" s="28" t="s">
        <v>5</v>
      </c>
      <c r="B2" s="29" t="n">
        <v>4.49</v>
      </c>
      <c r="C2" s="28" t="n">
        <v>29.99</v>
      </c>
      <c r="D2" s="27" t="n">
        <f>B2*12</f>
        <v>53.88</v>
      </c>
      <c r="E2" s="30" t="n">
        <f>(D2-C2)/D2</f>
        <v>0.443392724573125</v>
      </c>
    </row>
    <row r="3" ht="16.5" customHeight="1">
      <c r="A3" s="28" t="s">
        <v>6</v>
      </c>
      <c r="B3" s="29" t="n">
        <v>5.39</v>
      </c>
      <c r="C3" s="28" t="n">
        <v>34.99</v>
      </c>
      <c r="D3" s="27" t="n">
        <f>B3*12</f>
        <v>64.68</v>
      </c>
      <c r="E3" s="30" t="n">
        <f>(D3-C3)/D3</f>
        <v>0.459029066171923</v>
      </c>
    </row>
    <row r="4" ht="16.5" customHeight="1">
      <c r="A4" s="28" t="s">
        <v>7</v>
      </c>
      <c r="B4" s="29" t="n">
        <v>4.49</v>
      </c>
      <c r="C4" s="28" t="n">
        <v>29.99</v>
      </c>
      <c r="D4" s="27" t="n">
        <f>B4*12</f>
        <v>53.88</v>
      </c>
      <c r="E4" s="30" t="n">
        <f>(D4-C4)/D4</f>
        <v>0.443392724573125</v>
      </c>
    </row>
    <row r="5" ht="16.5" customHeight="1">
      <c r="A5" s="28" t="s">
        <v>8</v>
      </c>
      <c r="B5" s="29" t="n">
        <v>4.49</v>
      </c>
      <c r="C5" s="28" t="n">
        <v>29.99</v>
      </c>
      <c r="D5" s="27" t="n">
        <f>B5*12</f>
        <v>53.88</v>
      </c>
      <c r="E5" s="30" t="n">
        <f>(D5-C5)/D5</f>
        <v>0.443392724573125</v>
      </c>
    </row>
    <row r="6" ht="16.5" customHeight="1">
      <c r="A6" s="28" t="s">
        <v>9</v>
      </c>
      <c r="B6" s="29" t="n">
        <v>4.49</v>
      </c>
      <c r="C6" s="28" t="n">
        <v>29.99</v>
      </c>
      <c r="D6" s="27" t="n">
        <f>B6*12</f>
        <v>53.88</v>
      </c>
      <c r="E6" s="30" t="n">
        <f>(D6-C6)/D6</f>
        <v>0.443392724573125</v>
      </c>
    </row>
    <row r="7" ht="16.5" customHeight="1">
      <c r="A7" s="28" t="s">
        <v>10</v>
      </c>
      <c r="B7" s="29" t="n">
        <v>4.49</v>
      </c>
      <c r="C7" s="28" t="n">
        <v>29.99</v>
      </c>
      <c r="D7" s="27" t="n">
        <f>B7*12</f>
        <v>53.88</v>
      </c>
      <c r="E7" s="30" t="n">
        <f>(D7-C7)/D7</f>
        <v>0.443392724573125</v>
      </c>
    </row>
    <row r="8" ht="16.5" customHeight="1">
      <c r="A8" s="28" t="s">
        <v>11</v>
      </c>
      <c r="B8" s="29" t="n">
        <v>4.49</v>
      </c>
      <c r="C8" s="28" t="n">
        <v>29.99</v>
      </c>
      <c r="D8" s="27" t="n">
        <f>B8*12</f>
        <v>53.88</v>
      </c>
      <c r="E8" s="30" t="n">
        <f>(D8-C8)/D8</f>
        <v>0.443392724573125</v>
      </c>
    </row>
    <row r="9" ht="16.5" customHeight="1">
      <c r="A9" s="28" t="s">
        <v>12</v>
      </c>
      <c r="B9" s="29" t="n">
        <v>4.99</v>
      </c>
      <c r="C9" s="28" t="n">
        <v>34.99</v>
      </c>
      <c r="D9" s="27" t="n">
        <f>B9*12</f>
        <v>59.88</v>
      </c>
      <c r="E9" s="30" t="n">
        <f>(D9-C9)/D9</f>
        <v>0.415664662658651</v>
      </c>
    </row>
    <row r="10" ht="16.5" customHeight="1">
      <c r="A10" s="28" t="s">
        <v>13</v>
      </c>
      <c r="B10" s="29" t="n">
        <v>6.99</v>
      </c>
      <c r="C10" s="28" t="n">
        <v>49.99</v>
      </c>
      <c r="D10" s="27" t="n">
        <f>B10*12</f>
        <v>83.88</v>
      </c>
      <c r="E10" s="30" t="n">
        <f>(D10-C10)/D10</f>
        <v>0.404029566046733</v>
      </c>
    </row>
    <row r="11" ht="16.5" customHeight="1">
      <c r="A11" s="28" t="s">
        <v>14</v>
      </c>
      <c r="B11" s="29" t="n">
        <v>4.99</v>
      </c>
      <c r="C11" s="28" t="n">
        <v>30.99</v>
      </c>
      <c r="D11" s="27" t="n">
        <f>B11*12</f>
        <v>59.88</v>
      </c>
      <c r="E11" s="30" t="n">
        <f>(D11-C11)/D11</f>
        <v>0.482464929859719</v>
      </c>
    </row>
    <row r="12" ht="16.5" customHeight="1">
      <c r="A12" s="28" t="s">
        <v>15</v>
      </c>
      <c r="B12" s="29" t="n">
        <v>4.99</v>
      </c>
      <c r="C12" s="28" t="n">
        <v>34.99</v>
      </c>
      <c r="D12" s="27" t="n">
        <f>B12*12</f>
        <v>59.88</v>
      </c>
      <c r="E12" s="30" t="n">
        <f>(D12-C12)/D12</f>
        <v>0.415664662658651</v>
      </c>
    </row>
    <row r="13" ht="16.5" customHeight="1">
      <c r="A13" s="28" t="s">
        <v>16</v>
      </c>
      <c r="B13" s="29" t="n">
        <v>4.99</v>
      </c>
      <c r="C13" s="28" t="n">
        <v>30.99</v>
      </c>
      <c r="D13" s="27" t="n">
        <f>B13*12</f>
        <v>59.88</v>
      </c>
      <c r="E13" s="30" t="n">
        <f>(D13-C13)/D13</f>
        <v>0.482464929859719</v>
      </c>
    </row>
    <row r="14" ht="16.5" customHeight="1">
      <c r="A14" s="28" t="s">
        <v>17</v>
      </c>
      <c r="B14" s="29" t="n">
        <v>4.99</v>
      </c>
      <c r="C14" s="28" t="n">
        <v>30.99</v>
      </c>
      <c r="D14" s="27" t="n">
        <f>B14*12</f>
        <v>59.88</v>
      </c>
      <c r="E14" s="30" t="n">
        <f>(D14-C14)/D14</f>
        <v>0.482464929859719</v>
      </c>
    </row>
    <row r="15" ht="16.5" customHeight="1">
      <c r="A15" s="28" t="s">
        <v>18</v>
      </c>
      <c r="B15" s="29" t="n">
        <v>4.99</v>
      </c>
      <c r="C15" s="28" t="n">
        <v>34.99</v>
      </c>
      <c r="D15" s="27" t="n">
        <f>B15*12</f>
        <v>59.88</v>
      </c>
      <c r="E15" s="30" t="n">
        <f>(D15-C15)/D15</f>
        <v>0.415664662658651</v>
      </c>
    </row>
    <row r="16" ht="16.5" customHeight="1">
      <c r="A16" s="28" t="s">
        <v>19</v>
      </c>
      <c r="B16" s="29" t="n">
        <v>5.49</v>
      </c>
      <c r="C16" s="28" t="n">
        <v>34.99</v>
      </c>
      <c r="D16" s="27" t="n">
        <f>B16*12</f>
        <v>65.88</v>
      </c>
      <c r="E16" s="30" t="n">
        <f>(D16-C16)/D16</f>
        <v>0.468882817243473</v>
      </c>
    </row>
    <row r="17" ht="16.5" customHeight="1">
      <c r="A17" s="28" t="s">
        <v>20</v>
      </c>
      <c r="B17" s="29" t="n">
        <v>4.99</v>
      </c>
      <c r="C17" s="28" t="n">
        <v>30.99</v>
      </c>
      <c r="D17" s="27" t="n">
        <f>B17*12</f>
        <v>59.88</v>
      </c>
      <c r="E17" s="30" t="n">
        <f>(D17-C17)/D17</f>
        <v>0.482464929859719</v>
      </c>
    </row>
    <row r="18" ht="16.5" customHeight="1">
      <c r="A18" s="28" t="s">
        <v>21</v>
      </c>
      <c r="B18" s="29" t="n">
        <v>4.49</v>
      </c>
      <c r="C18" s="28" t="n">
        <v>29.99</v>
      </c>
      <c r="D18" s="27" t="n">
        <f>B18*12</f>
        <v>53.88</v>
      </c>
      <c r="E18" s="30" t="n">
        <f>(D18-C18)/D18</f>
        <v>0.443392724573125</v>
      </c>
    </row>
    <row r="19" ht="16.5" customHeight="1">
      <c r="A19" s="28" t="s">
        <v>22</v>
      </c>
      <c r="B19" s="29" t="n">
        <v>4.99</v>
      </c>
      <c r="C19" s="28" t="n">
        <v>34.99</v>
      </c>
      <c r="D19" s="27" t="n">
        <f>B19*12</f>
        <v>59.88</v>
      </c>
      <c r="E19" s="30" t="n">
        <f>(D19-C19)/D19</f>
        <v>0.415664662658651</v>
      </c>
    </row>
    <row r="20" ht="16.5" customHeight="1">
      <c r="A20" s="28" t="s">
        <v>23</v>
      </c>
      <c r="B20" s="29" t="n">
        <v>4.49</v>
      </c>
      <c r="C20" s="28" t="n">
        <v>29.99</v>
      </c>
      <c r="D20" s="27" t="n">
        <f>B20*12</f>
        <v>53.88</v>
      </c>
      <c r="E20" s="30" t="n">
        <f>(D20-C20)/D20</f>
        <v>0.443392724573125</v>
      </c>
    </row>
    <row r="21" ht="16.5" customHeight="1">
      <c r="A21" s="28" t="s">
        <v>24</v>
      </c>
      <c r="B21" s="29" t="n">
        <v>4.49</v>
      </c>
      <c r="C21" s="28" t="n">
        <v>29.99</v>
      </c>
      <c r="D21" s="27" t="n">
        <f>B21*12</f>
        <v>53.88</v>
      </c>
      <c r="E21" s="30" t="n">
        <f>(D21-C21)/D21</f>
        <v>0.443392724573125</v>
      </c>
    </row>
    <row r="22" ht="16.5" customHeight="1">
      <c r="A22" s="28" t="s">
        <v>25</v>
      </c>
      <c r="B22" s="29" t="n">
        <v>4.49</v>
      </c>
      <c r="C22" s="28" t="n">
        <v>29.99</v>
      </c>
      <c r="D22" s="27" t="n">
        <f>B22*12</f>
        <v>53.88</v>
      </c>
      <c r="E22" s="30" t="n">
        <f>(D22-C22)/D22</f>
        <v>0.443392724573125</v>
      </c>
    </row>
    <row r="23" ht="16.5" customHeight="1">
      <c r="A23" s="28" t="s">
        <v>26</v>
      </c>
      <c r="B23" s="29" t="n">
        <v>4.99</v>
      </c>
      <c r="C23" s="28" t="n">
        <v>30.99</v>
      </c>
      <c r="D23" s="27" t="n">
        <f>B23*12</f>
        <v>59.88</v>
      </c>
      <c r="E23" s="30" t="n">
        <f>(D23-C23)/D23</f>
        <v>0.482464929859719</v>
      </c>
    </row>
    <row r="24" ht="16.5" customHeight="1">
      <c r="A24" s="28" t="s">
        <v>27</v>
      </c>
      <c r="B24" s="29" t="n">
        <v>4.49</v>
      </c>
      <c r="C24" s="28" t="n">
        <v>29.99</v>
      </c>
      <c r="D24" s="27" t="n">
        <f>B24*12</f>
        <v>53.88</v>
      </c>
      <c r="E24" s="30" t="n">
        <f>(D24-C24)/D24</f>
        <v>0.443392724573125</v>
      </c>
    </row>
    <row r="25" ht="16.5" customHeight="1">
      <c r="A25" s="28" t="s">
        <v>28</v>
      </c>
      <c r="B25" s="29" t="n">
        <v>29.9</v>
      </c>
      <c r="C25" s="28" t="n">
        <v>199.9</v>
      </c>
      <c r="D25" s="27" t="n">
        <f>B25*12</f>
        <v>358.8</v>
      </c>
      <c r="E25" s="30" t="n">
        <f>(D25-C25)/D25</f>
        <v>0.442865105908584</v>
      </c>
    </row>
    <row r="26" ht="16.5" customHeight="1">
      <c r="A26" s="28" t="s">
        <v>29</v>
      </c>
      <c r="B26" s="29" t="n">
        <v>4.49</v>
      </c>
      <c r="C26" s="28" t="n">
        <v>29.99</v>
      </c>
      <c r="D26" s="27" t="n">
        <f>B26*12</f>
        <v>53.88</v>
      </c>
      <c r="E26" s="30" t="n">
        <f>(D26-C26)/D26</f>
        <v>0.443392724573125</v>
      </c>
    </row>
    <row r="27" ht="16.5" customHeight="1">
      <c r="A27" s="28" t="s">
        <v>30</v>
      </c>
      <c r="B27" s="29" t="n">
        <v>4.49</v>
      </c>
      <c r="C27" s="28" t="n">
        <v>29.99</v>
      </c>
      <c r="D27" s="27" t="n">
        <f>B27*12</f>
        <v>53.88</v>
      </c>
      <c r="E27" s="30" t="n">
        <f>(D27-C27)/D27</f>
        <v>0.443392724573125</v>
      </c>
    </row>
    <row r="28" ht="16.5" customHeight="1">
      <c r="A28" s="28" t="s">
        <v>31</v>
      </c>
      <c r="B28" s="29" t="n">
        <v>9.99</v>
      </c>
      <c r="C28" s="28" t="n">
        <v>69.99</v>
      </c>
      <c r="D28" s="27" t="n">
        <f>B28*12</f>
        <v>119.88</v>
      </c>
      <c r="E28" s="30" t="n">
        <f>(D28-C28)/D28</f>
        <v>0.416166166166166</v>
      </c>
    </row>
    <row r="29" ht="16.5" customHeight="1">
      <c r="A29" s="28" t="s">
        <v>32</v>
      </c>
      <c r="B29" s="29" t="n">
        <v>4.49</v>
      </c>
      <c r="C29" s="28" t="n">
        <v>29.99</v>
      </c>
      <c r="D29" s="27" t="n">
        <f>B29*12</f>
        <v>53.88</v>
      </c>
      <c r="E29" s="30" t="n">
        <f>(D29-C29)/D29</f>
        <v>0.443392724573125</v>
      </c>
    </row>
    <row r="30" ht="16.5" customHeight="1">
      <c r="A30" s="28" t="s">
        <v>33</v>
      </c>
      <c r="B30" s="29" t="n">
        <v>4.99</v>
      </c>
      <c r="C30" s="28" t="n">
        <v>29.99</v>
      </c>
      <c r="D30" s="27" t="n">
        <f>B30*12</f>
        <v>59.88</v>
      </c>
      <c r="E30" s="30" t="n">
        <f>(D30-C30)/D30</f>
        <v>0.499164996659987</v>
      </c>
    </row>
    <row r="31" ht="16.5" customHeight="1">
      <c r="A31" s="28" t="s">
        <v>34</v>
      </c>
      <c r="B31" s="29" t="n">
        <v>4.99</v>
      </c>
      <c r="C31" s="28" t="n">
        <v>34.99</v>
      </c>
      <c r="D31" s="27" t="n">
        <f>B31*12</f>
        <v>59.88</v>
      </c>
      <c r="E31" s="30" t="n">
        <f>(D31-C31)/D31</f>
        <v>0.415664662658651</v>
      </c>
    </row>
    <row r="32" ht="16.5" customHeight="1">
      <c r="A32" s="28" t="s">
        <v>35</v>
      </c>
      <c r="B32" s="29" t="n">
        <v>5.99</v>
      </c>
      <c r="C32" s="28" t="n">
        <v>39.99</v>
      </c>
      <c r="D32" s="27" t="n">
        <f>B32*12</f>
        <v>71.88</v>
      </c>
      <c r="E32" s="30" t="n">
        <f>(D32-C32)/D32</f>
        <v>0.443656093489149</v>
      </c>
    </row>
    <row r="33" ht="16.5" customHeight="1">
      <c r="A33" s="28" t="s">
        <v>36</v>
      </c>
      <c r="B33" s="29" t="n">
        <v>4.49</v>
      </c>
      <c r="C33" s="28" t="n">
        <v>29.99</v>
      </c>
      <c r="D33" s="27" t="n">
        <f>B33*12</f>
        <v>53.88</v>
      </c>
      <c r="E33" s="30" t="n">
        <f>(D33-C33)/D33</f>
        <v>0.443392724573125</v>
      </c>
    </row>
    <row r="34" ht="16.5" customHeight="1">
      <c r="A34" s="28" t="s">
        <v>37</v>
      </c>
      <c r="B34" s="29" t="n">
        <v>4.49</v>
      </c>
      <c r="C34" s="28" t="n">
        <v>29.99</v>
      </c>
      <c r="D34" s="27" t="n">
        <f>B34*12</f>
        <v>53.88</v>
      </c>
      <c r="E34" s="30" t="n">
        <f>(D34-C34)/D34</f>
        <v>0.443392724573125</v>
      </c>
    </row>
    <row r="35" ht="16.5" customHeight="1">
      <c r="A35" s="28" t="s">
        <v>38</v>
      </c>
      <c r="B35" s="29" t="n">
        <v>4.49</v>
      </c>
      <c r="C35" s="28" t="n">
        <v>29.99</v>
      </c>
      <c r="D35" s="27" t="n">
        <f>B35*12</f>
        <v>53.88</v>
      </c>
      <c r="E35" s="30" t="n">
        <f>(D35-C35)/D35</f>
        <v>0.443392724573125</v>
      </c>
    </row>
    <row r="36" ht="16.5" customHeight="1">
      <c r="A36" s="28" t="s">
        <v>39</v>
      </c>
      <c r="B36" s="29" t="n">
        <v>4990</v>
      </c>
      <c r="C36" s="28" t="n">
        <v>34990</v>
      </c>
      <c r="D36" s="27" t="n">
        <f>B36*12</f>
        <v>59880</v>
      </c>
      <c r="E36" s="30" t="n">
        <f>(D36-C36)/D36</f>
        <v>0.415664662658651</v>
      </c>
    </row>
    <row r="37" ht="16.5" customHeight="1">
      <c r="A37" s="28" t="s">
        <v>40</v>
      </c>
      <c r="B37" s="29" t="n">
        <v>30</v>
      </c>
      <c r="C37" s="28" t="n">
        <v>198</v>
      </c>
      <c r="D37" s="27" t="n">
        <f>B37*12</f>
        <v>360</v>
      </c>
      <c r="E37" s="30" t="n">
        <f>(D37-C37)/D37</f>
        <v>0.45</v>
      </c>
    </row>
    <row r="38" ht="16.5" customHeight="1">
      <c r="A38" s="28" t="s">
        <v>41</v>
      </c>
      <c r="B38" s="29" t="n">
        <v>21900</v>
      </c>
      <c r="C38" s="28" t="n">
        <v>129900</v>
      </c>
      <c r="D38" s="27" t="n">
        <f>B38*12</f>
        <v>262800</v>
      </c>
      <c r="E38" s="30" t="n">
        <f>(D38-C38)/D38</f>
        <v>0.505707762557078</v>
      </c>
    </row>
    <row r="39" ht="16.5" customHeight="1">
      <c r="A39" s="28" t="s">
        <v>42</v>
      </c>
      <c r="B39" s="29" t="n">
        <v>4.49</v>
      </c>
      <c r="C39" s="28" t="n">
        <v>29.99</v>
      </c>
      <c r="D39" s="27" t="n">
        <f>B39*12</f>
        <v>53.88</v>
      </c>
      <c r="E39" s="30" t="n">
        <f>(D39-C39)/D39</f>
        <v>0.443392724573125</v>
      </c>
    </row>
    <row r="40" ht="16.5" customHeight="1">
      <c r="A40" s="28" t="s">
        <v>43</v>
      </c>
      <c r="B40" s="29" t="n">
        <v>4.49</v>
      </c>
      <c r="C40" s="28" t="n">
        <v>29.99</v>
      </c>
      <c r="D40" s="27" t="n">
        <f>B40*12</f>
        <v>53.88</v>
      </c>
      <c r="E40" s="30" t="n">
        <f>(D40-C40)/D40</f>
        <v>0.443392724573125</v>
      </c>
    </row>
    <row r="41" ht="16.5" customHeight="1">
      <c r="A41" s="28" t="s">
        <v>44</v>
      </c>
      <c r="B41" s="29" t="n">
        <v>4.49</v>
      </c>
      <c r="C41" s="28" t="n">
        <v>29.99</v>
      </c>
      <c r="D41" s="27" t="n">
        <f>B41*12</f>
        <v>53.88</v>
      </c>
      <c r="E41" s="30" t="n">
        <f>(D41-C41)/D41</f>
        <v>0.443392724573125</v>
      </c>
    </row>
    <row r="42" ht="16.5" customHeight="1">
      <c r="A42" s="28" t="s">
        <v>45</v>
      </c>
      <c r="B42" s="29" t="n">
        <v>4.99</v>
      </c>
      <c r="C42" s="28" t="n">
        <v>34.99</v>
      </c>
      <c r="D42" s="27" t="n">
        <f>B42*12</f>
        <v>59.88</v>
      </c>
      <c r="E42" s="30" t="n">
        <f>(D42-C42)/D42</f>
        <v>0.415664662658651</v>
      </c>
    </row>
    <row r="43" ht="16.5" customHeight="1">
      <c r="A43" s="28" t="s">
        <v>46</v>
      </c>
      <c r="B43" s="29" t="n">
        <v>4.99</v>
      </c>
      <c r="C43" s="28" t="n">
        <v>30.99</v>
      </c>
      <c r="D43" s="27" t="n">
        <f>B43*12</f>
        <v>59.88</v>
      </c>
      <c r="E43" s="30" t="n">
        <f>(D43-C43)/D43</f>
        <v>0.482464929859719</v>
      </c>
    </row>
    <row r="44" ht="16.5" customHeight="1">
      <c r="A44" s="28" t="s">
        <v>47</v>
      </c>
      <c r="B44" s="29" t="n">
        <v>4.99</v>
      </c>
      <c r="C44" s="28" t="n">
        <v>30.99</v>
      </c>
      <c r="D44" s="27" t="n">
        <f>B44*12</f>
        <v>59.88</v>
      </c>
      <c r="E44" s="30" t="n">
        <f>(D44-C44)/D44</f>
        <v>0.482464929859719</v>
      </c>
    </row>
    <row r="45" ht="16.5" customHeight="1">
      <c r="A45" s="28" t="s">
        <v>48</v>
      </c>
      <c r="B45" s="29" t="n">
        <v>129</v>
      </c>
      <c r="C45" s="28" t="n">
        <v>799</v>
      </c>
      <c r="D45" s="27" t="n">
        <f>B45*12</f>
        <v>1548</v>
      </c>
      <c r="E45" s="30" t="n">
        <f>(D45-C45)/D45</f>
        <v>0.483850129198966</v>
      </c>
    </row>
    <row r="46" ht="16.5" customHeight="1">
      <c r="A46" s="28" t="s">
        <v>49</v>
      </c>
      <c r="B46" s="29" t="n">
        <v>39</v>
      </c>
      <c r="C46" s="28" t="n">
        <v>249</v>
      </c>
      <c r="D46" s="27" t="n">
        <f>B46*12</f>
        <v>468</v>
      </c>
      <c r="E46" s="30" t="n">
        <f>(D46-C46)/D46</f>
        <v>0.467948717948718</v>
      </c>
    </row>
    <row r="47" ht="16.5" customHeight="1">
      <c r="A47" s="28" t="s">
        <v>50</v>
      </c>
      <c r="B47" s="29" t="n">
        <v>4.49</v>
      </c>
      <c r="C47" s="28" t="n">
        <v>29.99</v>
      </c>
      <c r="D47" s="27" t="n">
        <f>B47*12</f>
        <v>53.88</v>
      </c>
      <c r="E47" s="30" t="n">
        <f>(D47-C47)/D47</f>
        <v>0.443392724573125</v>
      </c>
    </row>
    <row r="48" ht="16.5" customHeight="1">
      <c r="A48" s="28" t="s">
        <v>51</v>
      </c>
      <c r="B48" s="29" t="n">
        <v>4.49</v>
      </c>
      <c r="C48" s="28" t="n">
        <v>29.99</v>
      </c>
      <c r="D48" s="27" t="n">
        <f>B48*12</f>
        <v>53.88</v>
      </c>
      <c r="E48" s="30" t="n">
        <f>(D48-C48)/D48</f>
        <v>0.443392724573125</v>
      </c>
    </row>
    <row r="49" ht="16.5" customHeight="1">
      <c r="A49" s="28" t="s">
        <v>52</v>
      </c>
      <c r="B49" s="29" t="n">
        <v>4.49</v>
      </c>
      <c r="C49" s="28" t="n">
        <v>29.99</v>
      </c>
      <c r="D49" s="27" t="n">
        <f>B49*12</f>
        <v>53.88</v>
      </c>
      <c r="E49" s="30" t="n">
        <f>(D49-C49)/D49</f>
        <v>0.443392724573125</v>
      </c>
    </row>
    <row r="50" ht="16.5" customHeight="1">
      <c r="A50" s="28" t="s">
        <v>53</v>
      </c>
      <c r="B50" s="29" t="n">
        <v>249.99</v>
      </c>
      <c r="C50" s="28" t="n">
        <v>1499.99</v>
      </c>
      <c r="D50" s="27" t="n">
        <f>B50*12</f>
        <v>2999.88</v>
      </c>
      <c r="E50" s="30" t="n">
        <f>(D50-C50)/D50</f>
        <v>0.49998333266664</v>
      </c>
    </row>
    <row r="51" ht="16.5" customHeight="1">
      <c r="A51" s="28" t="s">
        <v>54</v>
      </c>
      <c r="B51" s="29" t="n">
        <v>4.49</v>
      </c>
      <c r="C51" s="28" t="n">
        <v>29.99</v>
      </c>
      <c r="D51" s="27" t="n">
        <f>B51*12</f>
        <v>53.88</v>
      </c>
      <c r="E51" s="30" t="n">
        <f>(D51-C51)/D51</f>
        <v>0.443392724573125</v>
      </c>
    </row>
    <row r="52" ht="16.5" customHeight="1">
      <c r="A52" s="28" t="s">
        <v>55</v>
      </c>
      <c r="B52" s="29" t="n">
        <v>4.99</v>
      </c>
      <c r="C52" s="28" t="n">
        <v>30.99</v>
      </c>
      <c r="D52" s="27" t="n">
        <f>B52*12</f>
        <v>59.88</v>
      </c>
      <c r="E52" s="30" t="n">
        <f>(D52-C52)/D52</f>
        <v>0.482464929859719</v>
      </c>
    </row>
    <row r="53" ht="16.5" customHeight="1">
      <c r="A53" s="28" t="s">
        <v>56</v>
      </c>
      <c r="B53" s="29" t="n">
        <v>4.49</v>
      </c>
      <c r="C53" s="28" t="n">
        <v>29.99</v>
      </c>
      <c r="D53" s="27" t="n">
        <f>B53*12</f>
        <v>53.88</v>
      </c>
      <c r="E53" s="30" t="n">
        <f>(D53-C53)/D53</f>
        <v>0.443392724573125</v>
      </c>
    </row>
    <row r="54" ht="16.5" customHeight="1">
      <c r="A54" s="28" t="s">
        <v>57</v>
      </c>
      <c r="B54" s="29" t="n">
        <v>4.49</v>
      </c>
      <c r="C54" s="28" t="n">
        <v>29.99</v>
      </c>
      <c r="D54" s="27" t="n">
        <f>B54*12</f>
        <v>53.88</v>
      </c>
      <c r="E54" s="30" t="n">
        <f>(D54-C54)/D54</f>
        <v>0.443392724573125</v>
      </c>
    </row>
    <row r="55" ht="16.5" customHeight="1">
      <c r="A55" s="29" t="s">
        <v>58</v>
      </c>
      <c r="B55" s="29" t="n">
        <v>4.99</v>
      </c>
      <c r="C55" s="28" t="n">
        <v>30.99</v>
      </c>
      <c r="D55" s="27" t="n">
        <f>B55*12</f>
        <v>59.88</v>
      </c>
      <c r="E55" s="30" t="n">
        <f>(D55-C55)/D55</f>
        <v>0.482464929859719</v>
      </c>
    </row>
    <row r="56" ht="16.5" customHeight="1">
      <c r="A56" s="28" t="s">
        <v>59</v>
      </c>
      <c r="B56" s="29" t="n">
        <v>4.99</v>
      </c>
      <c r="C56" s="28" t="n">
        <v>30.99</v>
      </c>
      <c r="D56" s="27" t="n">
        <f>B56*12</f>
        <v>59.88</v>
      </c>
      <c r="E56" s="30" t="n">
        <f>(D56-C56)/D56</f>
        <v>0.482464929859719</v>
      </c>
    </row>
    <row r="57" ht="16.5" customHeight="1">
      <c r="A57" s="28" t="s">
        <v>60</v>
      </c>
      <c r="B57" s="29" t="n">
        <v>4.49</v>
      </c>
      <c r="C57" s="28" t="n">
        <v>29.99</v>
      </c>
      <c r="D57" s="27" t="n">
        <f>B57*12</f>
        <v>53.88</v>
      </c>
      <c r="E57" s="30" t="n">
        <f>(D57-C57)/D57</f>
        <v>0.443392724573125</v>
      </c>
    </row>
    <row r="58" ht="16.5" customHeight="1">
      <c r="A58" s="28" t="s">
        <v>61</v>
      </c>
      <c r="B58" s="29" t="n">
        <v>4.49</v>
      </c>
      <c r="C58" s="28" t="n">
        <v>29.99</v>
      </c>
      <c r="D58" s="27" t="n">
        <f>B58*12</f>
        <v>53.88</v>
      </c>
      <c r="E58" s="30" t="n">
        <f>(D58-C58)/D58</f>
        <v>0.443392724573125</v>
      </c>
    </row>
    <row r="59" ht="16.5" customHeight="1">
      <c r="A59" s="28" t="s">
        <v>62</v>
      </c>
      <c r="B59" s="29" t="n">
        <v>4.99</v>
      </c>
      <c r="C59" s="28" t="n">
        <v>34.99</v>
      </c>
      <c r="D59" s="27" t="n">
        <f>B59*12</f>
        <v>59.88</v>
      </c>
      <c r="E59" s="30" t="n">
        <f>(D59-C59)/D59</f>
        <v>0.415664662658651</v>
      </c>
    </row>
    <row r="60" ht="16.5" customHeight="1">
      <c r="A60" s="28" t="s">
        <v>63</v>
      </c>
      <c r="B60" s="29" t="n">
        <v>4.99</v>
      </c>
      <c r="C60" s="28" t="n">
        <v>30.99</v>
      </c>
      <c r="D60" s="27" t="n">
        <f>B60*12</f>
        <v>59.88</v>
      </c>
      <c r="E60" s="30" t="n">
        <f>(D60-C60)/D60</f>
        <v>0.482464929859719</v>
      </c>
    </row>
    <row r="61" ht="16.5" customHeight="1">
      <c r="A61" s="28" t="s">
        <v>64</v>
      </c>
      <c r="B61" s="29" t="n">
        <v>4.99</v>
      </c>
      <c r="C61" s="28" t="n">
        <v>34.99</v>
      </c>
      <c r="D61" s="27" t="n">
        <f>B61*12</f>
        <v>59.88</v>
      </c>
      <c r="E61" s="30" t="n">
        <f>(D61-C61)/D61</f>
        <v>0.415664662658651</v>
      </c>
    </row>
    <row r="62" ht="16.5" customHeight="1">
      <c r="A62" s="28" t="s">
        <v>65</v>
      </c>
      <c r="B62" s="29" t="n">
        <v>4.99</v>
      </c>
      <c r="C62" s="28" t="n">
        <v>30.99</v>
      </c>
      <c r="D62" s="27" t="n">
        <f>B62*12</f>
        <v>59.88</v>
      </c>
      <c r="E62" s="30" t="n">
        <f>(D62-C62)/D62</f>
        <v>0.482464929859719</v>
      </c>
    </row>
    <row r="63" ht="16.5" customHeight="1">
      <c r="A63" s="28" t="s">
        <v>66</v>
      </c>
      <c r="B63" s="29" t="n">
        <v>4.49</v>
      </c>
      <c r="C63" s="28" t="n">
        <v>29.99</v>
      </c>
      <c r="D63" s="27" t="n">
        <f>B63*12</f>
        <v>53.88</v>
      </c>
      <c r="E63" s="30" t="n">
        <f>(D63-C63)/D63</f>
        <v>0.443392724573125</v>
      </c>
    </row>
    <row r="64" ht="16.5" customHeight="1">
      <c r="A64" s="28" t="s">
        <v>67</v>
      </c>
      <c r="B64" s="29" t="n">
        <v>4.49</v>
      </c>
      <c r="C64" s="28" t="n">
        <v>29.99</v>
      </c>
      <c r="D64" s="27" t="n">
        <f>B64*12</f>
        <v>53.88</v>
      </c>
      <c r="E64" s="30" t="n">
        <f>(D64-C64)/D64</f>
        <v>0.443392724573125</v>
      </c>
    </row>
    <row r="65" ht="16.5" customHeight="1">
      <c r="A65" s="28" t="s">
        <v>68</v>
      </c>
      <c r="B65" s="29" t="n">
        <v>4.49</v>
      </c>
      <c r="C65" s="28" t="n">
        <v>29.99</v>
      </c>
      <c r="D65" s="27" t="n">
        <f>B65*12</f>
        <v>53.88</v>
      </c>
      <c r="E65" s="30" t="n">
        <f>(D65-C65)/D65</f>
        <v>0.443392724573125</v>
      </c>
    </row>
    <row r="66" ht="16.5" customHeight="1">
      <c r="A66" s="28" t="s">
        <v>69</v>
      </c>
      <c r="B66" s="29" t="n">
        <v>4.49</v>
      </c>
      <c r="C66" s="28" t="n">
        <v>29.99</v>
      </c>
      <c r="D66" s="27" t="n">
        <f>B66*12</f>
        <v>53.88</v>
      </c>
      <c r="E66" s="30" t="n">
        <f>(D66-C66)/D66</f>
        <v>0.443392724573125</v>
      </c>
    </row>
    <row r="67" ht="16.5" customHeight="1">
      <c r="A67" s="28" t="s">
        <v>70</v>
      </c>
      <c r="B67" s="29" t="n">
        <v>4.49</v>
      </c>
      <c r="C67" s="28" t="n">
        <v>29.99</v>
      </c>
      <c r="D67" s="27" t="n">
        <f>B67*12</f>
        <v>53.88</v>
      </c>
      <c r="E67" s="30" t="n">
        <f>(D67-C67)/D67</f>
        <v>0.443392724573125</v>
      </c>
    </row>
    <row r="68" ht="16.5" customHeight="1">
      <c r="A68" s="28" t="s">
        <v>71</v>
      </c>
      <c r="B68" s="29" t="n">
        <v>38</v>
      </c>
      <c r="C68" s="28" t="n">
        <v>228</v>
      </c>
      <c r="D68" s="27" t="n">
        <f>B68*12</f>
        <v>456</v>
      </c>
      <c r="E68" s="30" t="n">
        <f>(D68-C68)/D68</f>
        <v>0.5</v>
      </c>
    </row>
    <row r="69" ht="16.5" customHeight="1">
      <c r="A69" s="28" t="s">
        <v>72</v>
      </c>
      <c r="B69" s="29" t="n">
        <v>1990</v>
      </c>
      <c r="C69" s="28" t="n">
        <v>12990</v>
      </c>
      <c r="D69" s="27" t="n">
        <f>B69*12</f>
        <v>23880</v>
      </c>
      <c r="E69" s="30" t="n">
        <f>(D69-C69)/D69</f>
        <v>0.456030150753769</v>
      </c>
    </row>
    <row r="70" ht="16.5" customHeight="1">
      <c r="A70" s="28" t="s">
        <v>73</v>
      </c>
      <c r="B70" s="29" t="n">
        <v>4.99</v>
      </c>
      <c r="C70" s="28" t="n">
        <v>35.49</v>
      </c>
      <c r="D70" s="27" t="n">
        <f>B70*12</f>
        <v>59.88</v>
      </c>
      <c r="E70" s="30" t="n">
        <f>(D70-C70)/D70</f>
        <v>0.407314629258517</v>
      </c>
    </row>
    <row r="71" ht="16.5" customHeight="1">
      <c r="A71" s="28" t="s">
        <v>74</v>
      </c>
      <c r="B71" s="29" t="n">
        <v>499</v>
      </c>
      <c r="C71" s="28" t="n">
        <v>2999</v>
      </c>
      <c r="D71" s="27" t="n">
        <f>B71*12</f>
        <v>5988</v>
      </c>
      <c r="E71" s="30" t="n">
        <f>(D71-C71)/D71</f>
        <v>0.499164996659987</v>
      </c>
    </row>
    <row r="72" ht="16.5" customHeight="1">
      <c r="A72" s="28" t="s">
        <v>75</v>
      </c>
      <c r="B72" s="29" t="n">
        <v>79000</v>
      </c>
      <c r="C72" s="28" t="n">
        <v>499000</v>
      </c>
      <c r="D72" s="27" t="n">
        <f>B72*12</f>
        <v>948000</v>
      </c>
      <c r="E72" s="30" t="n">
        <f>(D72-C72)/D72</f>
        <v>0.473628691983122</v>
      </c>
    </row>
    <row r="73" ht="16.5" customHeight="1">
      <c r="A73" s="28" t="s">
        <v>76</v>
      </c>
      <c r="B73" s="29" t="n">
        <v>4.49</v>
      </c>
      <c r="C73" s="28" t="n">
        <v>29.99</v>
      </c>
      <c r="D73" s="27" t="n">
        <f>B73*12</f>
        <v>53.88</v>
      </c>
      <c r="E73" s="30" t="n">
        <f>(D73-C73)/D73</f>
        <v>0.443392724573125</v>
      </c>
    </row>
    <row r="74" ht="16.5" customHeight="1">
      <c r="A74" s="28" t="s">
        <v>77</v>
      </c>
      <c r="B74" s="29" t="n">
        <v>4.99</v>
      </c>
      <c r="C74" s="28" t="n">
        <v>30.99</v>
      </c>
      <c r="D74" s="27" t="n">
        <f>B74*12</f>
        <v>59.88</v>
      </c>
      <c r="E74" s="30" t="n">
        <f>(D74-C74)/D74</f>
        <v>0.482464929859719</v>
      </c>
    </row>
    <row r="75" ht="16.5" customHeight="1">
      <c r="A75" s="28" t="s">
        <v>78</v>
      </c>
      <c r="B75" s="29" t="n">
        <v>14.9</v>
      </c>
      <c r="C75" s="28" t="n">
        <v>99.9</v>
      </c>
      <c r="D75" s="27" t="n">
        <f>B75*12</f>
        <v>178.8</v>
      </c>
      <c r="E75" s="30" t="n">
        <f>(D75-C75)/D75</f>
        <v>0.441275167785235</v>
      </c>
    </row>
    <row r="76" ht="16.5" customHeight="1">
      <c r="A76" s="28" t="s">
        <v>79</v>
      </c>
      <c r="B76" s="29" t="n">
        <v>4.99</v>
      </c>
      <c r="C76" s="28" t="n">
        <v>30.99</v>
      </c>
      <c r="D76" s="27" t="n">
        <f>B76*12</f>
        <v>59.88</v>
      </c>
      <c r="E76" s="30" t="n">
        <f>(D76-C76)/D76</f>
        <v>0.482464929859719</v>
      </c>
    </row>
    <row r="77" ht="16.5" customHeight="1">
      <c r="A77" s="28" t="s">
        <v>80</v>
      </c>
      <c r="B77" s="29" t="n">
        <v>4.49</v>
      </c>
      <c r="C77" s="28" t="n">
        <v>29.99</v>
      </c>
      <c r="D77" s="27" t="n">
        <f>B77*12</f>
        <v>53.88</v>
      </c>
      <c r="E77" s="30" t="n">
        <f>(D77-C77)/D77</f>
        <v>0.443392724573125</v>
      </c>
    </row>
    <row r="78" ht="16.5" customHeight="1">
      <c r="A78" s="28" t="s">
        <v>81</v>
      </c>
      <c r="B78" s="29" t="n">
        <v>700</v>
      </c>
      <c r="C78" s="28" t="n">
        <v>5000</v>
      </c>
      <c r="D78" s="27" t="n">
        <f>B78*12</f>
        <v>8400</v>
      </c>
      <c r="E78" s="30" t="n">
        <f>(D78-C78)/D78</f>
        <v>0.404761904761905</v>
      </c>
    </row>
    <row r="79" ht="16.5" customHeight="1">
      <c r="A79" s="28" t="s">
        <v>82</v>
      </c>
      <c r="B79" s="29" t="n">
        <v>4.49</v>
      </c>
      <c r="C79" s="28" t="n">
        <v>29.99</v>
      </c>
      <c r="D79" s="27" t="n">
        <f>B79*12</f>
        <v>53.88</v>
      </c>
      <c r="E79" s="30" t="n">
        <f>(D79-C79)/D79</f>
        <v>0.443392724573125</v>
      </c>
    </row>
    <row r="80" ht="16.5" customHeight="1">
      <c r="A80" s="28" t="s">
        <v>83</v>
      </c>
      <c r="B80" s="29" t="n">
        <v>2490</v>
      </c>
      <c r="C80" s="28" t="n">
        <v>17990</v>
      </c>
      <c r="D80" s="27" t="n">
        <f>B80*12</f>
        <v>29880</v>
      </c>
      <c r="E80" s="30" t="n">
        <f>(D80-C80)/D80</f>
        <v>0.397925033467202</v>
      </c>
    </row>
    <row r="81" ht="16.5" customHeight="1">
      <c r="A81" s="28" t="s">
        <v>84</v>
      </c>
      <c r="B81" s="29" t="n">
        <v>4.99</v>
      </c>
      <c r="C81" s="28" t="n">
        <v>34.99</v>
      </c>
      <c r="D81" s="27" t="n">
        <f>B81*12</f>
        <v>59.88</v>
      </c>
      <c r="E81" s="30" t="n">
        <f>(D81-C81)/D81</f>
        <v>0.415664662658651</v>
      </c>
    </row>
    <row r="82" ht="16.5" customHeight="1">
      <c r="A82" s="28" t="s">
        <v>85</v>
      </c>
      <c r="B82" s="29" t="n">
        <v>6600</v>
      </c>
      <c r="C82" s="28" t="n">
        <v>44000</v>
      </c>
      <c r="D82" s="27" t="n">
        <f>B82*12</f>
        <v>79200</v>
      </c>
      <c r="E82" s="30" t="n">
        <f>(D82-C82)/D82</f>
        <v>0.444444444444444</v>
      </c>
    </row>
    <row r="83" ht="16.5" customHeight="1">
      <c r="A83" s="28" t="s">
        <v>86</v>
      </c>
      <c r="B83" s="29" t="n">
        <v>4.99</v>
      </c>
      <c r="C83" s="28" t="n">
        <v>30.99</v>
      </c>
      <c r="D83" s="27" t="n">
        <f>B83*12</f>
        <v>59.88</v>
      </c>
      <c r="E83" s="30" t="n">
        <f>(D83-C83)/D83</f>
        <v>0.482464929859719</v>
      </c>
    </row>
    <row r="84" ht="16.5" customHeight="1">
      <c r="A84" s="28" t="s">
        <v>87</v>
      </c>
      <c r="B84" s="29" t="n">
        <v>4.49</v>
      </c>
      <c r="C84" s="28" t="n">
        <v>29.99</v>
      </c>
      <c r="D84" s="27" t="n">
        <f>B84*12</f>
        <v>53.88</v>
      </c>
      <c r="E84" s="30" t="n">
        <f>(D84-C84)/D84</f>
        <v>0.443392724573125</v>
      </c>
    </row>
    <row r="85" ht="16.5" customHeight="1">
      <c r="A85" s="28" t="s">
        <v>88</v>
      </c>
      <c r="B85" s="29" t="n">
        <v>4.99</v>
      </c>
      <c r="C85" s="28" t="n">
        <v>29.99</v>
      </c>
      <c r="D85" s="27" t="n">
        <f>B85*12</f>
        <v>59.88</v>
      </c>
      <c r="E85" s="30" t="n">
        <f>(D85-C85)/D85</f>
        <v>0.499164996659987</v>
      </c>
    </row>
    <row r="86" ht="16.5" customHeight="1">
      <c r="A86" s="28" t="s">
        <v>89</v>
      </c>
      <c r="B86" s="29" t="n">
        <v>4.99</v>
      </c>
      <c r="C86" s="28" t="n">
        <v>29.99</v>
      </c>
      <c r="D86" s="27" t="n">
        <f>B86*12</f>
        <v>59.88</v>
      </c>
      <c r="E86" s="30" t="n">
        <f>(D86-C86)/D86</f>
        <v>0.499164996659987</v>
      </c>
    </row>
    <row r="87" ht="16.5" customHeight="1">
      <c r="A87" s="28" t="s">
        <v>90</v>
      </c>
      <c r="B87" s="29" t="n">
        <v>4.99</v>
      </c>
      <c r="C87" s="28" t="n">
        <v>30.99</v>
      </c>
      <c r="D87" s="27" t="n">
        <f>B87*12</f>
        <v>59.88</v>
      </c>
      <c r="E87" s="30" t="n">
        <f>(D87-C87)/D87</f>
        <v>0.482464929859719</v>
      </c>
    </row>
    <row r="88" ht="16.5" customHeight="1">
      <c r="A88" s="28" t="s">
        <v>91</v>
      </c>
      <c r="B88" s="29" t="n">
        <v>4.49</v>
      </c>
      <c r="C88" s="28" t="n">
        <v>29.99</v>
      </c>
      <c r="D88" s="27" t="n">
        <f>B88*12</f>
        <v>53.88</v>
      </c>
      <c r="E88" s="30" t="n">
        <f>(D88-C88)/D88</f>
        <v>0.443392724573125</v>
      </c>
    </row>
    <row r="89" ht="16.5" customHeight="1">
      <c r="A89" s="28" t="s">
        <v>92</v>
      </c>
      <c r="B89" s="29" t="n">
        <v>4.49</v>
      </c>
      <c r="C89" s="28" t="n">
        <v>29.99</v>
      </c>
      <c r="D89" s="27" t="n">
        <f>B89*12</f>
        <v>53.88</v>
      </c>
      <c r="E89" s="30" t="n">
        <f>(D89-C89)/D89</f>
        <v>0.443392724573125</v>
      </c>
    </row>
    <row r="90" ht="16.5" customHeight="1">
      <c r="A90" s="28" t="s">
        <v>93</v>
      </c>
      <c r="B90" s="29" t="n">
        <v>4.49</v>
      </c>
      <c r="C90" s="28" t="n">
        <v>29.99</v>
      </c>
      <c r="D90" s="27" t="n">
        <f>B90*12</f>
        <v>53.88</v>
      </c>
      <c r="E90" s="30" t="n">
        <f>(D90-C90)/D90</f>
        <v>0.443392724573125</v>
      </c>
    </row>
    <row r="91" ht="16.5" customHeight="1">
      <c r="A91" s="28" t="s">
        <v>94</v>
      </c>
      <c r="B91" s="29" t="n">
        <v>4.99</v>
      </c>
      <c r="C91" s="28" t="n">
        <v>30.99</v>
      </c>
      <c r="D91" s="27" t="n">
        <f>B91*12</f>
        <v>59.88</v>
      </c>
      <c r="E91" s="30" t="n">
        <f>(D91-C91)/D91</f>
        <v>0.482464929859719</v>
      </c>
    </row>
    <row r="92" ht="16.5" customHeight="1">
      <c r="A92" s="28" t="s">
        <v>95</v>
      </c>
      <c r="B92" s="29" t="n">
        <v>4.99</v>
      </c>
      <c r="C92" s="28" t="n">
        <v>30.99</v>
      </c>
      <c r="D92" s="27" t="n">
        <f>B92*12</f>
        <v>59.88</v>
      </c>
      <c r="E92" s="30" t="n">
        <f>(D92-C92)/D92</f>
        <v>0.482464929859719</v>
      </c>
    </row>
    <row r="93" ht="16.5" customHeight="1">
      <c r="A93" s="28" t="s">
        <v>96</v>
      </c>
      <c r="B93" s="29" t="n">
        <v>4.49</v>
      </c>
      <c r="C93" s="28" t="n">
        <v>29.99</v>
      </c>
      <c r="D93" s="27" t="n">
        <f>B93*12</f>
        <v>53.88</v>
      </c>
      <c r="E93" s="30" t="n">
        <f>(D93-C93)/D93</f>
        <v>0.443392724573125</v>
      </c>
    </row>
    <row r="94" ht="16.5" customHeight="1">
      <c r="A94" s="28" t="s">
        <v>97</v>
      </c>
      <c r="B94" s="29" t="n">
        <v>4.49</v>
      </c>
      <c r="C94" s="28" t="n">
        <v>29.99</v>
      </c>
      <c r="D94" s="27" t="n">
        <f>B94*12</f>
        <v>53.88</v>
      </c>
      <c r="E94" s="30" t="n">
        <f>(D94-C94)/D94</f>
        <v>0.443392724573125</v>
      </c>
    </row>
    <row r="95" ht="16.5" customHeight="1">
      <c r="A95" s="28" t="s">
        <v>98</v>
      </c>
      <c r="B95" s="29" t="n">
        <v>4.49</v>
      </c>
      <c r="C95" s="28" t="n">
        <v>29.99</v>
      </c>
      <c r="D95" s="27" t="n">
        <f>B95*12</f>
        <v>53.88</v>
      </c>
      <c r="E95" s="30" t="n">
        <f>(D95-C95)/D95</f>
        <v>0.443392724573125</v>
      </c>
    </row>
    <row r="96" ht="16.5" customHeight="1">
      <c r="A96" s="28" t="s">
        <v>99</v>
      </c>
      <c r="B96" s="29" t="n">
        <v>20.9</v>
      </c>
      <c r="C96" s="28" t="n">
        <v>129.9</v>
      </c>
      <c r="D96" s="27" t="n">
        <f>B96*12</f>
        <v>250.8</v>
      </c>
      <c r="E96" s="30" t="n">
        <f>(D96-C96)/D96</f>
        <v>0.482057416267943</v>
      </c>
    </row>
    <row r="97" ht="16.5" customHeight="1">
      <c r="A97" s="28" t="s">
        <v>100</v>
      </c>
      <c r="B97" s="29" t="n">
        <v>4.49</v>
      </c>
      <c r="C97" s="28" t="n">
        <v>29.99</v>
      </c>
      <c r="D97" s="27" t="n">
        <f>B97*12</f>
        <v>53.88</v>
      </c>
      <c r="E97" s="30" t="n">
        <f>(D97-C97)/D97</f>
        <v>0.443392724573125</v>
      </c>
    </row>
    <row r="98" ht="16.5" customHeight="1">
      <c r="A98" s="28" t="s">
        <v>101</v>
      </c>
      <c r="B98" s="29" t="n">
        <v>4.49</v>
      </c>
      <c r="C98" s="28" t="n">
        <v>29.99</v>
      </c>
      <c r="D98" s="27" t="n">
        <f>B98*12</f>
        <v>53.88</v>
      </c>
      <c r="E98" s="30" t="n">
        <f>(D98-C98)/D98</f>
        <v>0.443392724573125</v>
      </c>
    </row>
    <row r="99" ht="16.5" customHeight="1">
      <c r="A99" s="28" t="s">
        <v>102</v>
      </c>
      <c r="B99" s="29" t="n">
        <v>4.99</v>
      </c>
      <c r="C99" s="28" t="n">
        <v>30.99</v>
      </c>
      <c r="D99" s="27" t="n">
        <f>B99*12</f>
        <v>59.88</v>
      </c>
      <c r="E99" s="30" t="n">
        <f>(D99-C99)/D99</f>
        <v>0.482464929859719</v>
      </c>
    </row>
    <row r="100" ht="16.5" customHeight="1">
      <c r="A100" s="28" t="s">
        <v>103</v>
      </c>
      <c r="B100" s="29" t="n">
        <v>4.49</v>
      </c>
      <c r="C100" s="28" t="n">
        <v>29.99</v>
      </c>
      <c r="D100" s="27" t="n">
        <f>B100*12</f>
        <v>53.88</v>
      </c>
      <c r="E100" s="30" t="n">
        <f>(D100-C100)/D100</f>
        <v>0.443392724573125</v>
      </c>
    </row>
    <row r="101" ht="16.5" customHeight="1">
      <c r="A101" s="28" t="s">
        <v>104</v>
      </c>
      <c r="B101" s="29" t="n">
        <v>4.49</v>
      </c>
      <c r="C101" s="28" t="n">
        <v>29.99</v>
      </c>
      <c r="D101" s="27" t="n">
        <f>B101*12</f>
        <v>53.88</v>
      </c>
      <c r="E101" s="30" t="n">
        <f>(D101-C101)/D101</f>
        <v>0.443392724573125</v>
      </c>
    </row>
    <row r="102" ht="16.5" customHeight="1">
      <c r="A102" s="28" t="s">
        <v>105</v>
      </c>
      <c r="B102" s="29" t="n">
        <v>115</v>
      </c>
      <c r="C102" s="28" t="n">
        <v>669</v>
      </c>
      <c r="D102" s="27" t="n">
        <f>B102*12</f>
        <v>1380</v>
      </c>
      <c r="E102" s="30" t="n">
        <f>(D102-C102)/D102</f>
        <v>0.515217391304348</v>
      </c>
    </row>
    <row r="103" ht="16.5" customHeight="1">
      <c r="A103" s="28" t="s">
        <v>106</v>
      </c>
      <c r="B103" s="29" t="n">
        <v>4.49</v>
      </c>
      <c r="C103" s="28" t="n">
        <v>29.99</v>
      </c>
      <c r="D103" s="27" t="n">
        <f>B103*12</f>
        <v>53.88</v>
      </c>
      <c r="E103" s="30" t="n">
        <f>(D103-C103)/D103</f>
        <v>0.443392724573125</v>
      </c>
    </row>
    <row r="104" ht="16.5" customHeight="1">
      <c r="A104" s="28" t="s">
        <v>107</v>
      </c>
      <c r="B104" s="29" t="n">
        <v>4.99</v>
      </c>
      <c r="C104" s="28" t="n">
        <v>34.99</v>
      </c>
      <c r="D104" s="27" t="n">
        <f>B104*12</f>
        <v>59.88</v>
      </c>
      <c r="E104" s="30" t="n">
        <f>(D104-C104)/D104</f>
        <v>0.415664662658651</v>
      </c>
    </row>
    <row r="105" ht="16.5" customHeight="1">
      <c r="A105" s="28" t="s">
        <v>108</v>
      </c>
      <c r="B105" s="29" t="n">
        <v>4.49</v>
      </c>
      <c r="C105" s="28" t="n">
        <v>29.99</v>
      </c>
      <c r="D105" s="27" t="n">
        <f>B105*12</f>
        <v>53.88</v>
      </c>
      <c r="E105" s="30" t="n">
        <f>(D105-C105)/D105</f>
        <v>0.443392724573125</v>
      </c>
    </row>
    <row r="106" ht="16.5" customHeight="1">
      <c r="A106" s="28" t="s">
        <v>109</v>
      </c>
      <c r="B106" s="29" t="n">
        <v>3.99</v>
      </c>
      <c r="C106" s="28" t="n">
        <v>24.99</v>
      </c>
      <c r="D106" s="27" t="n">
        <f>B106*12</f>
        <v>47.88</v>
      </c>
      <c r="E106" s="30" t="n">
        <f>(D106-C106)/D106</f>
        <v>0.478070175438597</v>
      </c>
    </row>
    <row r="107" ht="16.5" customHeight="1">
      <c r="A107" s="28" t="s">
        <v>110</v>
      </c>
      <c r="B107" s="29" t="n">
        <v>4.49</v>
      </c>
      <c r="C107" s="28" t="n">
        <v>29.99</v>
      </c>
      <c r="D107" s="27" t="n">
        <f>B107*12</f>
        <v>53.88</v>
      </c>
      <c r="E107" s="30" t="n">
        <f>(D107-C107)/D107</f>
        <v>0.443392724573125</v>
      </c>
    </row>
    <row r="108" ht="16.5" customHeight="1">
      <c r="A108" s="28" t="s">
        <v>111</v>
      </c>
      <c r="B108" s="29" t="n">
        <v>4.49</v>
      </c>
      <c r="C108" s="28" t="n">
        <v>29.99</v>
      </c>
      <c r="D108" s="27" t="n">
        <f>B108*12</f>
        <v>53.88</v>
      </c>
      <c r="E108" s="30" t="n">
        <f>(D108-C108)/D108</f>
        <v>0.443392724573125</v>
      </c>
    </row>
    <row r="109" ht="16.5" customHeight="1">
      <c r="A109" s="28" t="s">
        <v>112</v>
      </c>
      <c r="B109" s="29" t="n">
        <v>4.49</v>
      </c>
      <c r="C109" s="28" t="n">
        <v>29.99</v>
      </c>
      <c r="D109" s="27" t="n">
        <f>B109*12</f>
        <v>53.88</v>
      </c>
      <c r="E109" s="30" t="n">
        <f>(D109-C109)/D109</f>
        <v>0.443392724573125</v>
      </c>
    </row>
    <row r="110" ht="16.5" customHeight="1">
      <c r="A110" s="28" t="s">
        <v>113</v>
      </c>
      <c r="B110" s="29" t="n">
        <v>4.49</v>
      </c>
      <c r="C110" s="28" t="n">
        <v>29.99</v>
      </c>
      <c r="D110" s="27" t="n">
        <f>B110*12</f>
        <v>53.88</v>
      </c>
      <c r="E110" s="30" t="n">
        <f>(D110-C110)/D110</f>
        <v>0.443392724573125</v>
      </c>
    </row>
    <row r="111" ht="16.5" customHeight="1">
      <c r="A111" s="28" t="s">
        <v>114</v>
      </c>
      <c r="B111" s="29" t="n">
        <v>4.49</v>
      </c>
      <c r="C111" s="28" t="n">
        <v>29.99</v>
      </c>
      <c r="D111" s="27" t="n">
        <f>B111*12</f>
        <v>53.88</v>
      </c>
      <c r="E111" s="30" t="n">
        <f>(D111-C111)/D111</f>
        <v>0.443392724573125</v>
      </c>
    </row>
    <row r="112" ht="16.5" customHeight="1">
      <c r="A112" s="28" t="s">
        <v>115</v>
      </c>
      <c r="B112" s="29" t="n">
        <v>4.49</v>
      </c>
      <c r="C112" s="28" t="n">
        <v>29.99</v>
      </c>
      <c r="D112" s="27" t="n">
        <f>B112*12</f>
        <v>53.88</v>
      </c>
      <c r="E112" s="30" t="n">
        <f>(D112-C112)/D112</f>
        <v>0.443392724573125</v>
      </c>
    </row>
    <row r="113" ht="16.5" customHeight="1">
      <c r="A113" s="28" t="s">
        <v>116</v>
      </c>
      <c r="B113" s="29" t="n">
        <v>4.99</v>
      </c>
      <c r="C113" s="28" t="n">
        <v>34.99</v>
      </c>
      <c r="D113" s="27" t="n">
        <f>B113*12</f>
        <v>59.88</v>
      </c>
      <c r="E113" s="30" t="n">
        <f>(D113-C113)/D113</f>
        <v>0.415664662658651</v>
      </c>
    </row>
    <row r="114" ht="16.5" customHeight="1">
      <c r="A114" s="28" t="s">
        <v>117</v>
      </c>
      <c r="B114" s="29" t="n">
        <v>4.99</v>
      </c>
      <c r="C114" s="28" t="n">
        <v>30.99</v>
      </c>
      <c r="D114" s="27" t="n">
        <f>B114*12</f>
        <v>59.88</v>
      </c>
      <c r="E114" s="30" t="n">
        <f>(D114-C114)/D114</f>
        <v>0.482464929859719</v>
      </c>
    </row>
    <row r="115" ht="16.5" customHeight="1">
      <c r="A115" s="28" t="s">
        <v>118</v>
      </c>
      <c r="B115" s="29" t="n">
        <v>7.99</v>
      </c>
      <c r="C115" s="28" t="n">
        <v>49.99</v>
      </c>
      <c r="D115" s="27" t="n">
        <f>B115*12</f>
        <v>95.88</v>
      </c>
      <c r="E115" s="30" t="n">
        <f>(D115-C115)/D115</f>
        <v>0.478619107217355</v>
      </c>
    </row>
    <row r="116" ht="16.5" customHeight="1">
      <c r="A116" s="28" t="s">
        <v>119</v>
      </c>
      <c r="B116" s="29" t="n">
        <v>4.49</v>
      </c>
      <c r="C116" s="28" t="n">
        <v>29.99</v>
      </c>
      <c r="D116" s="27" t="n">
        <f>B116*12</f>
        <v>53.88</v>
      </c>
      <c r="E116" s="30" t="n">
        <f>(D116-C116)/D116</f>
        <v>0.443392724573125</v>
      </c>
    </row>
    <row r="117" ht="16.5" customHeight="1">
      <c r="A117" s="28" t="s">
        <v>120</v>
      </c>
      <c r="B117" s="29" t="n">
        <v>4.49</v>
      </c>
      <c r="C117" s="28" t="n">
        <v>29.99</v>
      </c>
      <c r="D117" s="27" t="n">
        <f>B117*12</f>
        <v>53.88</v>
      </c>
      <c r="E117" s="30" t="n">
        <f>(D117-C117)/D117</f>
        <v>0.443392724573125</v>
      </c>
    </row>
    <row r="118" ht="16.5" customHeight="1">
      <c r="A118" s="28" t="s">
        <v>121</v>
      </c>
      <c r="B118" s="29" t="n">
        <v>6900</v>
      </c>
      <c r="C118" s="28" t="n">
        <v>49900</v>
      </c>
      <c r="D118" s="27" t="n">
        <f>B118*12</f>
        <v>82800</v>
      </c>
      <c r="E118" s="30" t="n">
        <f>(D118-C118)/D118</f>
        <v>0.397342995169082</v>
      </c>
    </row>
    <row r="119" ht="16.5" customHeight="1">
      <c r="A119" s="28" t="s">
        <v>122</v>
      </c>
      <c r="B119" s="29" t="n">
        <v>4.49</v>
      </c>
      <c r="C119" s="28" t="n">
        <v>29.99</v>
      </c>
      <c r="D119" s="27" t="n">
        <f>B119*12</f>
        <v>53.88</v>
      </c>
      <c r="E119" s="30" t="n">
        <f>(D119-C119)/D119</f>
        <v>0.443392724573125</v>
      </c>
    </row>
    <row r="120" ht="16.5" customHeight="1">
      <c r="A120" s="28" t="s">
        <v>123</v>
      </c>
      <c r="B120" s="29" t="n">
        <v>59</v>
      </c>
      <c r="C120" s="28" t="n">
        <v>399</v>
      </c>
      <c r="D120" s="27" t="n">
        <f>B120*12</f>
        <v>708</v>
      </c>
      <c r="E120" s="30" t="n">
        <f>(D120-C120)/D120</f>
        <v>0.436440677966102</v>
      </c>
    </row>
    <row r="121" ht="16.5" customHeight="1">
      <c r="A121" s="28" t="s">
        <v>124</v>
      </c>
      <c r="B121" s="29" t="n">
        <v>4.49</v>
      </c>
      <c r="C121" s="28" t="n">
        <v>29.99</v>
      </c>
      <c r="D121" s="27" t="n">
        <f>B121*12</f>
        <v>53.88</v>
      </c>
      <c r="E121" s="30" t="n">
        <f>(D121-C121)/D121</f>
        <v>0.443392724573125</v>
      </c>
    </row>
    <row r="122" ht="16.5" customHeight="1">
      <c r="A122" s="28" t="s">
        <v>125</v>
      </c>
      <c r="B122" s="29" t="n">
        <v>1200</v>
      </c>
      <c r="C122" s="28" t="n">
        <v>7900</v>
      </c>
      <c r="D122" s="27" t="n">
        <f>B122*12</f>
        <v>14400</v>
      </c>
      <c r="E122" s="30" t="n">
        <f>(D122-C122)/D122</f>
        <v>0.451388888888889</v>
      </c>
    </row>
    <row r="123" ht="16.5" customHeight="1">
      <c r="A123" s="28" t="s">
        <v>126</v>
      </c>
      <c r="B123" s="29" t="n">
        <v>4.49</v>
      </c>
      <c r="C123" s="28" t="n">
        <v>29.99</v>
      </c>
      <c r="D123" s="27" t="n">
        <f>B123*12</f>
        <v>53.88</v>
      </c>
      <c r="E123" s="30" t="n">
        <f>(D123-C123)/D123</f>
        <v>0.443392724573125</v>
      </c>
    </row>
    <row r="124" ht="16.5" customHeight="1">
      <c r="A124" s="28" t="s">
        <v>127</v>
      </c>
      <c r="B124" s="29" t="n">
        <v>4.49</v>
      </c>
      <c r="C124" s="28" t="n">
        <v>29.99</v>
      </c>
      <c r="D124" s="27" t="n">
        <f>B124*12</f>
        <v>53.88</v>
      </c>
      <c r="E124" s="30" t="n">
        <f>(D124-C124)/D124</f>
        <v>0.443392724573125</v>
      </c>
    </row>
    <row r="125" ht="16.5" customHeight="1">
      <c r="A125" s="28" t="s">
        <v>128</v>
      </c>
      <c r="B125" s="29" t="n">
        <v>4.49</v>
      </c>
      <c r="C125" s="28" t="n">
        <v>29.99</v>
      </c>
      <c r="D125" s="27" t="n">
        <f>B125*12</f>
        <v>53.88</v>
      </c>
      <c r="E125" s="30" t="n">
        <f>(D125-C125)/D125</f>
        <v>0.443392724573125</v>
      </c>
    </row>
    <row r="126" ht="16.5" customHeight="1">
      <c r="A126" s="28" t="s">
        <v>129</v>
      </c>
      <c r="B126" s="29" t="n">
        <v>4.49</v>
      </c>
      <c r="C126" s="28" t="n">
        <v>29.99</v>
      </c>
      <c r="D126" s="27" t="n">
        <f>B126*12</f>
        <v>53.88</v>
      </c>
      <c r="E126" s="30" t="n">
        <f>(D126-C126)/D126</f>
        <v>0.443392724573125</v>
      </c>
    </row>
    <row r="127" ht="16.5" customHeight="1">
      <c r="A127" s="28" t="s">
        <v>130</v>
      </c>
      <c r="B127" s="29" t="n">
        <v>19.9</v>
      </c>
      <c r="C127" s="28" t="n">
        <v>129.9</v>
      </c>
      <c r="D127" s="27" t="n">
        <f>B127*12</f>
        <v>238.8</v>
      </c>
      <c r="E127" s="30" t="n">
        <f>(D127-C127)/D127</f>
        <v>0.456030150753769</v>
      </c>
    </row>
    <row r="128" ht="16.5" customHeight="1">
      <c r="A128" s="28" t="s">
        <v>131</v>
      </c>
      <c r="B128" s="29" t="n">
        <v>249</v>
      </c>
      <c r="C128" s="28" t="n">
        <v>1790</v>
      </c>
      <c r="D128" s="27" t="n">
        <f>B128*12</f>
        <v>2988</v>
      </c>
      <c r="E128" s="30" t="n">
        <f>(D128-C128)/D128</f>
        <v>0.400937081659973</v>
      </c>
    </row>
    <row r="129" ht="16.5" customHeight="1">
      <c r="A129" s="28" t="s">
        <v>132</v>
      </c>
      <c r="B129" s="29" t="n">
        <v>24.99</v>
      </c>
      <c r="C129" s="28" t="n">
        <v>149.99</v>
      </c>
      <c r="D129" s="27" t="n">
        <f>B129*12</f>
        <v>299.88</v>
      </c>
      <c r="E129" s="30" t="n">
        <f>(D129-C129)/D129</f>
        <v>0.499833266639989</v>
      </c>
    </row>
    <row r="130" ht="16.5" customHeight="1">
      <c r="A130" s="28" t="s">
        <v>133</v>
      </c>
      <c r="B130" s="29" t="n">
        <v>4.99</v>
      </c>
      <c r="C130" s="28" t="n">
        <v>30.99</v>
      </c>
      <c r="D130" s="27" t="n">
        <f>B130*12</f>
        <v>59.88</v>
      </c>
      <c r="E130" s="30" t="n">
        <f>(D130-C130)/D130</f>
        <v>0.482464929859719</v>
      </c>
    </row>
    <row r="131" ht="16.5" customHeight="1">
      <c r="A131" s="28" t="s">
        <v>134</v>
      </c>
      <c r="B131" s="29" t="n">
        <v>16.99</v>
      </c>
      <c r="C131" s="28" t="n">
        <v>104.99</v>
      </c>
      <c r="D131" s="27" t="n">
        <f>B131*12</f>
        <v>203.88</v>
      </c>
      <c r="E131" s="30" t="n">
        <f>(D131-C131)/D131</f>
        <v>0.4850402197371</v>
      </c>
    </row>
    <row r="132" ht="16.5" customHeight="1">
      <c r="A132" s="28" t="s">
        <v>135</v>
      </c>
      <c r="B132" s="29" t="n">
        <v>24.99</v>
      </c>
      <c r="C132" s="28" t="n">
        <v>149.99</v>
      </c>
      <c r="D132" s="27" t="n">
        <f>B132*12</f>
        <v>299.88</v>
      </c>
      <c r="E132" s="30" t="n">
        <f>(D132-C132)/D132</f>
        <v>0.499833266639989</v>
      </c>
    </row>
    <row r="133" ht="16.5" customHeight="1">
      <c r="A133" s="28" t="s">
        <v>136</v>
      </c>
      <c r="B133" s="29" t="n">
        <v>399</v>
      </c>
      <c r="C133" s="28" t="n">
        <v>2490</v>
      </c>
      <c r="D133" s="27" t="n">
        <f>B133*12</f>
        <v>4788</v>
      </c>
      <c r="E133" s="30" t="n">
        <f>(D133-C133)/D133</f>
        <v>0.479949874686717</v>
      </c>
    </row>
    <row r="134" ht="16.5" customHeight="1">
      <c r="A134" s="28" t="s">
        <v>137</v>
      </c>
      <c r="B134" s="29" t="n">
        <v>4.49</v>
      </c>
      <c r="C134" s="28" t="n">
        <v>29.99</v>
      </c>
      <c r="D134" s="27" t="n">
        <f>B134*12</f>
        <v>53.88</v>
      </c>
      <c r="E134" s="30" t="n">
        <f>(D134-C134)/D134</f>
        <v>0.443392724573125</v>
      </c>
    </row>
    <row r="135" ht="16.5" customHeight="1">
      <c r="A135" s="28" t="s">
        <v>138</v>
      </c>
      <c r="B135" s="29" t="n">
        <v>4.49</v>
      </c>
      <c r="C135" s="28" t="n">
        <v>29.99</v>
      </c>
      <c r="D135" s="27" t="n">
        <f>B135*12</f>
        <v>53.88</v>
      </c>
      <c r="E135" s="30" t="n">
        <f>(D135-C135)/D135</f>
        <v>0.443392724573125</v>
      </c>
    </row>
    <row r="136" ht="16.5" customHeight="1">
      <c r="A136" s="28" t="s">
        <v>139</v>
      </c>
      <c r="B136" s="29" t="n">
        <v>19.99</v>
      </c>
      <c r="C136" s="28" t="n">
        <v>129.99</v>
      </c>
      <c r="D136" s="27" t="n">
        <f>B136*12</f>
        <v>239.88</v>
      </c>
      <c r="E136" s="30" t="n">
        <f>(D136-C136)/D136</f>
        <v>0.458104052026013</v>
      </c>
    </row>
    <row r="137" ht="16.5" customHeight="1">
      <c r="A137" s="28" t="s">
        <v>140</v>
      </c>
      <c r="B137" s="29" t="n">
        <v>4.99</v>
      </c>
      <c r="C137" s="28" t="n">
        <v>34.99</v>
      </c>
      <c r="D137" s="27" t="n">
        <f>B137*12</f>
        <v>59.88</v>
      </c>
      <c r="E137" s="30" t="n">
        <f>(D137-C137)/D137</f>
        <v>0.415664662658651</v>
      </c>
    </row>
    <row r="138" ht="16.5" customHeight="1">
      <c r="A138" s="28" t="s">
        <v>141</v>
      </c>
      <c r="B138" s="29" t="n">
        <v>4.99</v>
      </c>
      <c r="C138" s="28" t="n">
        <v>30.99</v>
      </c>
      <c r="D138" s="27" t="n">
        <f>B138*12</f>
        <v>59.88</v>
      </c>
      <c r="E138" s="30" t="n">
        <f>(D138-C138)/D138</f>
        <v>0.482464929859719</v>
      </c>
    </row>
    <row r="139" ht="16.5" customHeight="1">
      <c r="A139" s="28" t="s">
        <v>142</v>
      </c>
      <c r="B139" s="29" t="n">
        <v>4.49</v>
      </c>
      <c r="C139" s="28" t="n">
        <v>29.99</v>
      </c>
      <c r="D139" s="27" t="n">
        <f>B139*12</f>
        <v>53.88</v>
      </c>
      <c r="E139" s="30" t="n">
        <f>(D139-C139)/D139</f>
        <v>0.443392724573125</v>
      </c>
    </row>
    <row r="140" ht="16.5" customHeight="1">
      <c r="A140" s="28" t="s">
        <v>143</v>
      </c>
      <c r="B140" s="29" t="n">
        <v>4.49</v>
      </c>
      <c r="C140" s="28" t="n">
        <v>29.99</v>
      </c>
      <c r="D140" s="27" t="n">
        <f>B140*12</f>
        <v>53.88</v>
      </c>
      <c r="E140" s="30" t="n">
        <f>(D140-C140)/D140</f>
        <v>0.443392724573125</v>
      </c>
    </row>
    <row r="141" ht="16.5" customHeight="1">
      <c r="A141" s="28" t="s">
        <v>144</v>
      </c>
      <c r="B141" s="29" t="n">
        <v>5.98</v>
      </c>
      <c r="C141" s="28" t="n">
        <v>40.98</v>
      </c>
      <c r="D141" s="27" t="n">
        <f>B141*12</f>
        <v>71.76</v>
      </c>
      <c r="E141" s="30" t="n">
        <f>(D141-C141)/D141</f>
        <v>0.428929765886288</v>
      </c>
    </row>
    <row r="142" ht="16.5" customHeight="1">
      <c r="A142" s="28" t="s">
        <v>145</v>
      </c>
      <c r="B142" s="29" t="n">
        <v>4.99</v>
      </c>
      <c r="C142" s="28" t="n">
        <v>30.99</v>
      </c>
      <c r="D142" s="27" t="n">
        <f>B142*12</f>
        <v>59.88</v>
      </c>
      <c r="E142" s="30" t="n">
        <f>(D142-C142)/D142</f>
        <v>0.482464929859719</v>
      </c>
    </row>
    <row r="143" ht="16.5" customHeight="1">
      <c r="A143" s="28" t="s">
        <v>146</v>
      </c>
      <c r="B143" s="29" t="n">
        <v>4.99</v>
      </c>
      <c r="C143" s="28" t="n">
        <v>30.99</v>
      </c>
      <c r="D143" s="27" t="n">
        <f>B143*12</f>
        <v>59.88</v>
      </c>
      <c r="E143" s="30" t="n">
        <f>(D143-C143)/D143</f>
        <v>0.482464929859719</v>
      </c>
    </row>
    <row r="144" ht="16.5" customHeight="1">
      <c r="A144" s="28" t="s">
        <v>147</v>
      </c>
      <c r="B144" s="29" t="n">
        <v>4.49</v>
      </c>
      <c r="C144" s="28" t="n">
        <v>29.99</v>
      </c>
      <c r="D144" s="27" t="n">
        <f>B144*12</f>
        <v>53.88</v>
      </c>
      <c r="E144" s="30" t="n">
        <f>(D144-C144)/D144</f>
        <v>0.443392724573125</v>
      </c>
    </row>
    <row r="145" ht="16.5" customHeight="1">
      <c r="A145" s="28" t="s">
        <v>148</v>
      </c>
      <c r="B145" s="29" t="n">
        <v>99.99</v>
      </c>
      <c r="C145" s="28" t="n">
        <v>599.99</v>
      </c>
      <c r="D145" s="27" t="n">
        <f>B145*12</f>
        <v>1199.88</v>
      </c>
      <c r="E145" s="30" t="n">
        <f>(D145-C145)/D145</f>
        <v>0.49995832916625</v>
      </c>
    </row>
    <row r="146" ht="16.5" customHeight="1">
      <c r="A146" s="28" t="s">
        <v>149</v>
      </c>
      <c r="B146" s="29" t="n">
        <v>4.99</v>
      </c>
      <c r="C146" s="28" t="n">
        <v>30.99</v>
      </c>
      <c r="D146" s="27" t="n">
        <f>B146*12</f>
        <v>59.88</v>
      </c>
      <c r="E146" s="30" t="n">
        <f>(D146-C146)/D146</f>
        <v>0.482464929859719</v>
      </c>
    </row>
    <row r="147" ht="16.5" customHeight="1">
      <c r="A147" s="28" t="s">
        <v>150</v>
      </c>
      <c r="B147" s="29" t="n">
        <v>4.49</v>
      </c>
      <c r="C147" s="28" t="n">
        <v>29.99</v>
      </c>
      <c r="D147" s="27" t="n">
        <f>B147*12</f>
        <v>53.88</v>
      </c>
      <c r="E147" s="30" t="n">
        <f>(D147-C147)/D147</f>
        <v>0.443392724573125</v>
      </c>
    </row>
    <row r="148" ht="16.5" customHeight="1">
      <c r="A148" s="28" t="s">
        <v>151</v>
      </c>
      <c r="B148" s="29" t="n">
        <v>4.49</v>
      </c>
      <c r="C148" s="28" t="n">
        <v>29.99</v>
      </c>
      <c r="D148" s="27" t="n">
        <f>B148*12</f>
        <v>53.88</v>
      </c>
      <c r="E148" s="30" t="n">
        <f>(D148-C148)/D148</f>
        <v>0.443392724573125</v>
      </c>
    </row>
    <row r="149" ht="16.5" customHeight="1">
      <c r="A149" s="28" t="s">
        <v>152</v>
      </c>
      <c r="B149" s="29" t="n">
        <v>4.49</v>
      </c>
      <c r="C149" s="28" t="n">
        <v>29.99</v>
      </c>
      <c r="D149" s="27" t="n">
        <f>B149*12</f>
        <v>53.88</v>
      </c>
      <c r="E149" s="30" t="n">
        <f>(D149-C149)/D149</f>
        <v>0.443392724573125</v>
      </c>
    </row>
    <row r="150" ht="16.5" customHeight="1">
      <c r="A150" s="28" t="s">
        <v>153</v>
      </c>
      <c r="B150" s="29" t="n">
        <v>4.49</v>
      </c>
      <c r="C150" s="28" t="n">
        <v>29.99</v>
      </c>
      <c r="D150" s="27" t="n">
        <f>B150*12</f>
        <v>53.88</v>
      </c>
      <c r="E150" s="30" t="n">
        <f>(D150-C150)/D150</f>
        <v>0.443392724573125</v>
      </c>
    </row>
    <row r="151" ht="16.5" customHeight="1">
      <c r="A151" s="28" t="s">
        <v>154</v>
      </c>
      <c r="B151" s="29" t="n">
        <v>4.99</v>
      </c>
      <c r="C151" s="28" t="n">
        <v>29.99</v>
      </c>
      <c r="D151" s="27" t="n">
        <f>B151*12</f>
        <v>59.88</v>
      </c>
      <c r="E151" s="30" t="n">
        <f>(D151-C151)/D151</f>
        <v>0.499164996659987</v>
      </c>
    </row>
    <row r="152" ht="16.5" customHeight="1">
      <c r="A152" s="28" t="s">
        <v>155</v>
      </c>
      <c r="B152" s="29" t="n">
        <v>59</v>
      </c>
      <c r="C152" s="28" t="n">
        <v>399</v>
      </c>
      <c r="D152" s="27" t="n">
        <f>B152*12</f>
        <v>708</v>
      </c>
      <c r="E152" s="30" t="n">
        <f>(D152-C152)/D152</f>
        <v>0.436440677966102</v>
      </c>
    </row>
    <row r="153" ht="16.5" customHeight="1">
      <c r="A153" s="28" t="s">
        <v>156</v>
      </c>
      <c r="B153" s="29" t="n">
        <v>4.5</v>
      </c>
      <c r="C153" s="28" t="n">
        <v>30</v>
      </c>
      <c r="D153" s="27" t="n">
        <f>B153*12</f>
        <v>54</v>
      </c>
      <c r="E153" s="30" t="n">
        <f>(D153-C153)/D153</f>
        <v>0.444444444444444</v>
      </c>
    </row>
    <row r="154" ht="16.5" customHeight="1">
      <c r="A154" s="28" t="s">
        <v>157</v>
      </c>
      <c r="B154" s="29" t="n">
        <v>150</v>
      </c>
      <c r="C154" s="28" t="n">
        <v>990</v>
      </c>
      <c r="D154" s="27" t="n">
        <f>B154*12</f>
        <v>1800</v>
      </c>
      <c r="E154" s="30" t="n">
        <f>(D154-C154)/D154</f>
        <v>0.45</v>
      </c>
    </row>
    <row r="155" ht="16.5" customHeight="1">
      <c r="A155" s="28" t="s">
        <v>158</v>
      </c>
      <c r="B155" s="29" t="n">
        <v>4.99</v>
      </c>
      <c r="C155" s="28" t="n">
        <v>32.99</v>
      </c>
      <c r="D155" s="27" t="n">
        <f>B155*12</f>
        <v>59.88</v>
      </c>
      <c r="E155" s="30" t="n">
        <f>(D155-C155)/D155</f>
        <v>0.449064796259185</v>
      </c>
    </row>
    <row r="156" ht="16.5" customHeight="1">
      <c r="A156" s="28" t="s">
        <v>159</v>
      </c>
      <c r="B156" s="29" t="n">
        <v>12900</v>
      </c>
      <c r="C156" s="28" t="n">
        <v>89900</v>
      </c>
      <c r="D156" s="27" t="n">
        <f>B156*12</f>
        <v>154800</v>
      </c>
      <c r="E156" s="30" t="n">
        <f>(D156-C156)/D156</f>
        <v>0.419250645994832</v>
      </c>
    </row>
    <row r="157" ht="16.5" customHeight="1">
      <c r="A157" s="28" t="s">
        <v>160</v>
      </c>
      <c r="B157" s="29" t="n">
        <v>149</v>
      </c>
      <c r="C157" s="28" t="n">
        <v>1020</v>
      </c>
      <c r="D157" s="27" t="n">
        <f>B157*12</f>
        <v>1788</v>
      </c>
      <c r="E157" s="30" t="n">
        <f>(D157-C157)/D157</f>
        <v>0.429530201342282</v>
      </c>
    </row>
    <row r="158" ht="16.5" customHeight="1">
      <c r="A158" s="28" t="s">
        <v>161</v>
      </c>
      <c r="B158" s="29" t="n">
        <v>4.49</v>
      </c>
      <c r="C158" s="28" t="n">
        <v>29.99</v>
      </c>
      <c r="D158" s="27" t="n">
        <f>B158*12</f>
        <v>53.88</v>
      </c>
      <c r="E158" s="30" t="n">
        <f>(D158-C158)/D158</f>
        <v>0.443392724573125</v>
      </c>
    </row>
    <row r="159" ht="16.5" customHeight="1">
      <c r="A159" s="28" t="s">
        <v>162</v>
      </c>
      <c r="B159" s="29" t="n">
        <v>4.49</v>
      </c>
      <c r="C159" s="28" t="n">
        <v>29.99</v>
      </c>
      <c r="D159" s="27" t="n">
        <f>B159*12</f>
        <v>53.88</v>
      </c>
      <c r="E159" s="30" t="n">
        <f>(D159-C159)/D159</f>
        <v>0.443392724573125</v>
      </c>
    </row>
    <row r="160" ht="16.5" customHeight="1">
      <c r="A160" s="28" t="s">
        <v>163</v>
      </c>
      <c r="B160" s="29" t="n">
        <v>4.49</v>
      </c>
      <c r="C160" s="28" t="n">
        <v>29.99</v>
      </c>
      <c r="D160" s="27" t="n">
        <f>B160*12</f>
        <v>53.88</v>
      </c>
      <c r="E160" s="30" t="n">
        <f>(D160-C160)/D160</f>
        <v>0.443392724573125</v>
      </c>
    </row>
    <row r="161" ht="16.5" customHeight="1">
      <c r="A161" s="28" t="s">
        <v>164</v>
      </c>
      <c r="B161" s="29" t="n">
        <v>199.99</v>
      </c>
      <c r="C161" s="28" t="n">
        <v>1299.99</v>
      </c>
      <c r="D161" s="27" t="n">
        <f>B161*12</f>
        <v>2399.88</v>
      </c>
      <c r="E161" s="30" t="n">
        <f>(D161-C161)/D161</f>
        <v>0.458310415520776</v>
      </c>
    </row>
    <row r="162" ht="16.5" customHeight="1">
      <c r="A162" s="28" t="s">
        <v>165</v>
      </c>
      <c r="B162" s="29" t="n">
        <v>4.49</v>
      </c>
      <c r="C162" s="28" t="n">
        <v>29.99</v>
      </c>
      <c r="D162" s="27" t="n">
        <f>B162*12</f>
        <v>53.88</v>
      </c>
      <c r="E162" s="30" t="n">
        <f>(D162-C162)/D162</f>
        <v>0.443392724573125</v>
      </c>
    </row>
    <row r="163" ht="16.5" customHeight="1">
      <c r="A163" s="28" t="s">
        <v>166</v>
      </c>
      <c r="B163" s="29" t="n">
        <v>4.49</v>
      </c>
      <c r="C163" s="28" t="n">
        <v>29.99</v>
      </c>
      <c r="D163" s="27" t="n">
        <f>B163*12</f>
        <v>53.88</v>
      </c>
      <c r="E163" s="30" t="n">
        <f>(D163-C163)/D163</f>
        <v>0.443392724573125</v>
      </c>
    </row>
    <row r="164" ht="16.5" customHeight="1">
      <c r="A164" s="28" t="s">
        <v>167</v>
      </c>
      <c r="B164" s="29" t="n">
        <v>4.99</v>
      </c>
      <c r="C164" s="28" t="n">
        <v>34.99</v>
      </c>
      <c r="D164" s="27" t="n">
        <f>B164*12</f>
        <v>59.88</v>
      </c>
      <c r="E164" s="30" t="n">
        <f>(D164-C164)/D164</f>
        <v>0.415664662658651</v>
      </c>
    </row>
    <row r="165" ht="16.5" customHeight="1">
      <c r="A165" s="28" t="s">
        <v>168</v>
      </c>
      <c r="B165" s="29" t="n">
        <v>5.49</v>
      </c>
      <c r="C165" s="28" t="n">
        <v>34.99</v>
      </c>
      <c r="D165" s="27" t="n">
        <f>B165*12</f>
        <v>65.88</v>
      </c>
      <c r="E165" s="30" t="n">
        <f>(D165-C165)/D165</f>
        <v>0.468882817243473</v>
      </c>
    </row>
    <row r="166" ht="16.5" customHeight="1">
      <c r="A166" s="28" t="s">
        <v>169</v>
      </c>
      <c r="B166" s="29" t="n">
        <v>17.99</v>
      </c>
      <c r="C166" s="28" t="n">
        <v>119.99</v>
      </c>
      <c r="D166" s="27" t="n">
        <f>B166*12</f>
        <v>215.88</v>
      </c>
      <c r="E166" s="30" t="n">
        <f>(D166-C166)/D166</f>
        <v>0.444181952936817</v>
      </c>
    </row>
    <row r="167" ht="16.5" customHeight="1">
      <c r="A167" s="28" t="s">
        <v>170</v>
      </c>
      <c r="B167" s="29" t="n">
        <v>3.99</v>
      </c>
      <c r="C167" s="28" t="n">
        <v>29.99</v>
      </c>
      <c r="D167" s="27" t="n">
        <f>B167*12</f>
        <v>47.88</v>
      </c>
      <c r="E167" s="30" t="n">
        <f>(D167-C167)/D167</f>
        <v>0.373642439431913</v>
      </c>
    </row>
    <row r="168" ht="16.5" customHeight="1">
      <c r="A168" s="28" t="s">
        <v>171</v>
      </c>
      <c r="B168" s="29" t="n">
        <v>4.49</v>
      </c>
      <c r="C168" s="28" t="n">
        <v>29.99</v>
      </c>
      <c r="D168" s="27" t="n">
        <f>B168*12</f>
        <v>53.88</v>
      </c>
      <c r="E168" s="30" t="n">
        <f>(D168-C168)/D168</f>
        <v>0.443392724573125</v>
      </c>
    </row>
    <row r="169" ht="16.5" customHeight="1">
      <c r="A169" s="28" t="s">
        <v>172</v>
      </c>
      <c r="B169" s="29" t="n">
        <v>4.49</v>
      </c>
      <c r="C169" s="28" t="n">
        <v>29.99</v>
      </c>
      <c r="D169" s="27" t="n">
        <f>B169*12</f>
        <v>53.88</v>
      </c>
      <c r="E169" s="30" t="n">
        <f>(D169-C169)/D169</f>
        <v>0.443392724573125</v>
      </c>
    </row>
    <row r="170" ht="16.5" customHeight="1">
      <c r="A170" s="28" t="s">
        <v>173</v>
      </c>
      <c r="B170" s="29" t="n">
        <v>4.99</v>
      </c>
      <c r="C170" s="28" t="n">
        <v>32.99</v>
      </c>
      <c r="D170" s="27" t="n">
        <f>B170*12</f>
        <v>59.88</v>
      </c>
      <c r="E170" s="30" t="n">
        <f>(D170-C170)/D170</f>
        <v>0.449064796259185</v>
      </c>
    </row>
    <row r="171" ht="16.5" customHeight="1">
      <c r="A171" s="28" t="s">
        <v>174</v>
      </c>
      <c r="B171" s="29" t="n">
        <v>4.49</v>
      </c>
      <c r="C171" s="28" t="n">
        <v>29.99</v>
      </c>
      <c r="D171" s="27" t="n">
        <f>B171*12</f>
        <v>53.88</v>
      </c>
      <c r="E171" s="30" t="n">
        <f>(D171-C171)/D171</f>
        <v>0.443392724573125</v>
      </c>
    </row>
    <row r="172" ht="16.5" customHeight="1">
      <c r="A172" s="28" t="s">
        <v>175</v>
      </c>
      <c r="B172" s="29" t="n">
        <v>4.49</v>
      </c>
      <c r="C172" s="28" t="n">
        <v>29.99</v>
      </c>
      <c r="D172" s="27" t="n">
        <f>B172*12</f>
        <v>53.88</v>
      </c>
      <c r="E172" s="30" t="n">
        <f>(D172-C172)/D172</f>
        <v>0.443392724573125</v>
      </c>
    </row>
    <row r="173" ht="16.5" customHeight="1">
      <c r="A173" s="28" t="s">
        <v>176</v>
      </c>
      <c r="B173" s="29" t="n">
        <v>119000</v>
      </c>
      <c r="C173" s="28" t="n">
        <v>799000</v>
      </c>
      <c r="D173" s="27" t="n">
        <f>B173*12</f>
        <v>1428000</v>
      </c>
      <c r="E173" s="30" t="n">
        <f>(D173-C173)/D173</f>
        <v>0.44047619047619</v>
      </c>
    </row>
    <row r="174" ht="16.5" customHeight="1">
      <c r="A174" s="28" t="s">
        <v>177</v>
      </c>
      <c r="B174" s="29" t="n">
        <v>4.49</v>
      </c>
      <c r="C174" s="28" t="n">
        <v>29.99</v>
      </c>
      <c r="D174" s="27" t="n">
        <f>B174*12</f>
        <v>53.88</v>
      </c>
      <c r="E174" s="30" t="n">
        <f>(D174-C174)/D174</f>
        <v>0.443392724573125</v>
      </c>
    </row>
    <row r="175" ht="16.5" customHeight="1">
      <c r="A175" s="28" t="s">
        <v>178</v>
      </c>
      <c r="B175" s="29" t="n">
        <v>4.99</v>
      </c>
      <c r="C175" s="28" t="n">
        <v>34.99</v>
      </c>
      <c r="D175" s="27" t="n">
        <f>B175*12</f>
        <v>59.88</v>
      </c>
      <c r="E175" s="30" t="n">
        <f>(D175-C175)/D175</f>
        <v>0.415664662658651</v>
      </c>
    </row>
    <row r="176" ht="16.5" customHeight="1">
      <c r="A176" s="28" t="s">
        <v>179</v>
      </c>
      <c r="B176" s="29" t="n">
        <v>4.99</v>
      </c>
      <c r="C176" s="28" t="n">
        <v>34.99</v>
      </c>
      <c r="D176" s="27" t="n">
        <f>B176*12</f>
        <v>59.88</v>
      </c>
      <c r="E176" s="30" t="n">
        <f>(D176-C176)/D176</f>
        <v>0.415664662658651</v>
      </c>
    </row>
    <row r="177" ht="16.5" customHeight="1">
      <c r="A177" s="27"/>
      <c r="B177" s="31"/>
      <c r="C177" s="27"/>
      <c r="D177" s="27"/>
      <c r="E177" s="27"/>
    </row>
    <row r="178" ht="16.5" customHeight="1">
      <c r="A178" s="27"/>
      <c r="B178" s="31"/>
      <c r="C178" s="27"/>
      <c r="D178" s="27"/>
      <c r="E178" s="27"/>
    </row>
    <row r="179" ht="16.5" customHeight="1">
      <c r="A179" s="27"/>
      <c r="B179" s="31"/>
      <c r="C179" s="27"/>
      <c r="D179" s="27"/>
      <c r="E179" s="27"/>
    </row>
    <row r="180" ht="16.5" customHeight="1">
      <c r="A180" s="27"/>
      <c r="B180" s="31"/>
      <c r="C180" s="27"/>
      <c r="D180" s="27"/>
      <c r="E180" s="27"/>
    </row>
    <row r="181" ht="16.5" customHeight="1">
      <c r="A181" s="27"/>
      <c r="B181" s="31"/>
      <c r="C181" s="27"/>
      <c r="D181" s="27"/>
      <c r="E181" s="27"/>
    </row>
    <row r="182" ht="16.5" customHeight="1">
      <c r="A182" s="27"/>
      <c r="B182" s="31"/>
      <c r="C182" s="27"/>
      <c r="D182" s="27"/>
      <c r="E182" s="27"/>
    </row>
    <row r="183" ht="16.5" customHeight="1">
      <c r="A183" s="27"/>
      <c r="B183" s="31"/>
      <c r="C183" s="27"/>
      <c r="D183" s="27"/>
      <c r="E183" s="27"/>
    </row>
    <row r="184" ht="16.5" customHeight="1">
      <c r="A184" s="27"/>
      <c r="B184" s="31"/>
      <c r="C184" s="27"/>
      <c r="D184" s="27"/>
      <c r="E184" s="27"/>
    </row>
    <row r="185" ht="16.5" customHeight="1">
      <c r="A185" s="27"/>
      <c r="B185" s="31"/>
      <c r="C185" s="27"/>
      <c r="D185" s="27"/>
      <c r="E185" s="27"/>
    </row>
    <row r="186" ht="16.5" customHeight="1">
      <c r="A186" s="27"/>
      <c r="B186" s="31"/>
      <c r="C186" s="27"/>
      <c r="D186" s="27"/>
      <c r="E186" s="27"/>
    </row>
    <row r="187" ht="16.5" customHeight="1">
      <c r="A187" s="27"/>
      <c r="B187" s="31"/>
      <c r="C187" s="27"/>
      <c r="D187" s="27"/>
      <c r="E187" s="27"/>
    </row>
    <row r="188" ht="16.5" customHeight="1">
      <c r="A188" s="27"/>
      <c r="B188" s="31"/>
      <c r="C188" s="27"/>
      <c r="D188" s="27"/>
      <c r="E188" s="27"/>
    </row>
    <row r="189" ht="16.5" customHeight="1">
      <c r="A189" s="27"/>
      <c r="B189" s="31"/>
      <c r="C189" s="27"/>
      <c r="D189" s="27"/>
      <c r="E189" s="27"/>
    </row>
    <row r="190" ht="16.5" customHeight="1">
      <c r="A190" s="27"/>
      <c r="B190" s="31"/>
      <c r="C190" s="27"/>
      <c r="D190" s="27"/>
      <c r="E190" s="27"/>
    </row>
    <row r="191" ht="16.5" customHeight="1">
      <c r="A191" s="27"/>
      <c r="B191" s="31"/>
      <c r="C191" s="27"/>
      <c r="D191" s="27"/>
      <c r="E191" s="27"/>
    </row>
    <row r="192" ht="16.5" customHeight="1">
      <c r="A192" s="27"/>
      <c r="B192" s="31"/>
      <c r="C192" s="27"/>
      <c r="D192" s="27"/>
      <c r="E192" s="27"/>
    </row>
    <row r="193" ht="16.5" customHeight="1">
      <c r="A193" s="27"/>
      <c r="B193" s="31"/>
      <c r="C193" s="27"/>
      <c r="D193" s="27"/>
      <c r="E193" s="27"/>
    </row>
    <row r="194" ht="16.5" customHeight="1">
      <c r="A194" s="27"/>
      <c r="B194" s="31"/>
      <c r="C194" s="27"/>
      <c r="D194" s="27"/>
      <c r="E194" s="27"/>
    </row>
    <row r="195" ht="16.5" customHeight="1">
      <c r="A195" s="27"/>
      <c r="B195" s="31"/>
      <c r="C195" s="27"/>
      <c r="D195" s="27"/>
      <c r="E195" s="27"/>
    </row>
    <row r="196" ht="16.5" customHeight="1">
      <c r="A196" s="27"/>
      <c r="B196" s="31"/>
      <c r="C196" s="27"/>
      <c r="D196" s="27"/>
      <c r="E196" s="27"/>
    </row>
    <row r="197" ht="16.5" customHeight="1">
      <c r="A197" s="27"/>
      <c r="B197" s="31"/>
      <c r="C197" s="27"/>
      <c r="D197" s="27"/>
      <c r="E197" s="27"/>
    </row>
    <row r="198" ht="16.5" customHeight="1">
      <c r="A198" s="27"/>
      <c r="B198" s="31"/>
      <c r="C198" s="27"/>
      <c r="D198" s="27"/>
      <c r="E198" s="27"/>
    </row>
    <row r="199" ht="16.5" customHeight="1">
      <c r="A199" s="27"/>
      <c r="B199" s="31"/>
      <c r="C199" s="27"/>
      <c r="D199" s="27"/>
      <c r="E199" s="27"/>
    </row>
    <row r="200" ht="16.5" customHeight="1">
      <c r="A200" s="27"/>
      <c r="B200" s="31"/>
      <c r="C200" s="27"/>
      <c r="D200" s="27"/>
      <c r="E200" s="2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6.3232421875"/>
    <col min="2" max="2" width="12.052734375" style="12"/>
    <col min="3" max="3" width="14.126953125" style="12"/>
    <col min="4" max="5" width="12.052734375" style="12"/>
    <col min="6" max="6" width="12.052734375"/>
    <col min="7" max="7" width="11.056640625"/>
    <col min="8" max="8" width="12.3837890625"/>
    <col min="9" max="9" width="17.4990234375" customWidth="1" style="5"/>
  </cols>
  <sheetData>
    <row r="1" ht="16.5" customHeight="1">
      <c r="A1" s="17" t="s">
        <v>0</v>
      </c>
      <c r="B1" s="22" t="s">
        <v>180</v>
      </c>
      <c r="C1" s="22" t="s">
        <v>181</v>
      </c>
      <c r="D1" s="22" t="s">
        <v>182</v>
      </c>
      <c r="E1" s="22" t="s">
        <v>183</v>
      </c>
      <c r="F1" s="17" t="s">
        <v>180</v>
      </c>
      <c r="G1" s="17" t="s">
        <v>184</v>
      </c>
      <c r="H1" s="17" t="s">
        <v>185</v>
      </c>
      <c r="I1" s="13" t="s">
        <v>186</v>
      </c>
    </row>
    <row r="2" ht="16.5" customHeight="1">
      <c r="A2" s="19" t="s">
        <v>5</v>
      </c>
      <c r="B2" s="20" t="s">
        <v>187</v>
      </c>
      <c r="C2" s="20" t="n">
        <v>28.49</v>
      </c>
      <c r="D2" s="20" t="n">
        <v>25.49</v>
      </c>
      <c r="E2" s="20" t="n">
        <v>25.49</v>
      </c>
      <c r="F2" s="19" t="s">
        <v>187</v>
      </c>
      <c r="G2" s="19" t="n">
        <v>29.99</v>
      </c>
      <c r="H2" s="7" t="n">
        <f>(G2-C2)/C2</f>
        <v>0.0526500526500527</v>
      </c>
      <c r="I2" s="19" t="n">
        <v>29.99</v>
      </c>
      <c r="J2" s="25" t="n">
        <f>I2-G2</f>
        <v>0</v>
      </c>
      <c r="K2" s="6" t="n">
        <f>(I2-C2)/C2</f>
        <v>0.0526500526500527</v>
      </c>
      <c r="L2" s="4" t="n">
        <f>I2-G2</f>
        <v>0</v>
      </c>
    </row>
    <row r="3" ht="16.5" customHeight="1">
      <c r="A3" s="19" t="s">
        <v>6</v>
      </c>
      <c r="B3" s="20" t="s">
        <v>187</v>
      </c>
      <c r="C3" s="20" t="n">
        <v>34.19</v>
      </c>
      <c r="D3" s="20" t="n">
        <v>24.78</v>
      </c>
      <c r="E3" s="20" t="n">
        <v>24.78</v>
      </c>
      <c r="F3" s="19" t="s">
        <v>187</v>
      </c>
      <c r="G3" s="19" t="n">
        <v>34.99</v>
      </c>
      <c r="H3" s="7" t="n">
        <f>(G3-C3)/C3</f>
        <v>0.0233986545773619</v>
      </c>
      <c r="I3" s="19" t="n">
        <v>34.99</v>
      </c>
      <c r="J3" s="25" t="n">
        <f>I3-G3</f>
        <v>0</v>
      </c>
      <c r="K3" s="6" t="n">
        <f>(I3-C3)/C3</f>
        <v>0.0233986545773619</v>
      </c>
      <c r="L3" s="4" t="n">
        <f>I3-G3</f>
        <v>0</v>
      </c>
    </row>
    <row r="4" ht="16.5" customHeight="1">
      <c r="A4" s="19" t="s">
        <v>7</v>
      </c>
      <c r="B4" s="20" t="s">
        <v>187</v>
      </c>
      <c r="C4" s="20" t="n">
        <v>28.49</v>
      </c>
      <c r="D4" s="20" t="n">
        <v>25.49</v>
      </c>
      <c r="E4" s="20" t="n">
        <v>25.49</v>
      </c>
      <c r="F4" s="19" t="s">
        <v>187</v>
      </c>
      <c r="G4" s="19" t="n">
        <v>29.99</v>
      </c>
      <c r="H4" s="7" t="n">
        <f>(G4-C4)/C4</f>
        <v>0.0526500526500527</v>
      </c>
      <c r="I4" s="19" t="n">
        <v>29.99</v>
      </c>
      <c r="J4" s="25" t="n">
        <f>I4-G4</f>
        <v>0</v>
      </c>
      <c r="K4" s="6" t="n">
        <f>(I4-C4)/C4</f>
        <v>0.0526500526500527</v>
      </c>
      <c r="L4" s="4" t="n">
        <f>I4-G4</f>
        <v>0</v>
      </c>
    </row>
    <row r="5" ht="16.5" customHeight="1">
      <c r="A5" s="19" t="s">
        <v>8</v>
      </c>
      <c r="B5" s="20" t="s">
        <v>187</v>
      </c>
      <c r="C5" s="20" t="n">
        <v>28.49</v>
      </c>
      <c r="D5" s="20" t="n">
        <v>25.49</v>
      </c>
      <c r="E5" s="20" t="n">
        <v>25.49</v>
      </c>
      <c r="F5" s="19" t="s">
        <v>187</v>
      </c>
      <c r="G5" s="19" t="n">
        <v>29.99</v>
      </c>
      <c r="H5" s="7" t="n">
        <f>(G5-C5)/C5</f>
        <v>0.0526500526500527</v>
      </c>
      <c r="I5" s="19" t="n">
        <v>29.99</v>
      </c>
      <c r="J5" s="25" t="n">
        <f>I5-G5</f>
        <v>0</v>
      </c>
      <c r="K5" s="6" t="n">
        <f>(I5-C5)/C5</f>
        <v>0.0526500526500527</v>
      </c>
      <c r="L5" s="4" t="n">
        <f>I5-G5</f>
        <v>0</v>
      </c>
    </row>
    <row r="6" ht="16.5" customHeight="1">
      <c r="A6" s="19" t="s">
        <v>9</v>
      </c>
      <c r="B6" s="20" t="s">
        <v>187</v>
      </c>
      <c r="C6" s="20" t="n">
        <v>28.49</v>
      </c>
      <c r="D6" s="20" t="n">
        <v>25.49</v>
      </c>
      <c r="E6" s="20" t="n">
        <v>25.49</v>
      </c>
      <c r="F6" s="19" t="s">
        <v>187</v>
      </c>
      <c r="G6" s="19" t="n">
        <v>29.99</v>
      </c>
      <c r="H6" s="7" t="n">
        <f>(G6-C6)/C6</f>
        <v>0.0526500526500527</v>
      </c>
      <c r="I6" s="19" t="n">
        <v>29.99</v>
      </c>
      <c r="J6" s="25" t="n">
        <f>I6-G6</f>
        <v>0</v>
      </c>
      <c r="K6" s="6" t="n">
        <f>(I6-C6)/C6</f>
        <v>0.0526500526500527</v>
      </c>
      <c r="L6" s="4" t="n">
        <f>I6-G6</f>
        <v>0</v>
      </c>
    </row>
    <row r="7" ht="16.5" customHeight="1">
      <c r="A7" s="19" t="s">
        <v>10</v>
      </c>
      <c r="B7" s="20" t="s">
        <v>187</v>
      </c>
      <c r="C7" s="20" t="n">
        <v>28.49</v>
      </c>
      <c r="D7" s="20" t="n">
        <v>25.49</v>
      </c>
      <c r="E7" s="20" t="n">
        <v>25.49</v>
      </c>
      <c r="F7" s="19" t="s">
        <v>187</v>
      </c>
      <c r="G7" s="19" t="n">
        <v>29.99</v>
      </c>
      <c r="H7" s="7" t="n">
        <f>(G7-C7)/C7</f>
        <v>0.0526500526500527</v>
      </c>
      <c r="I7" s="19" t="n">
        <v>29.99</v>
      </c>
      <c r="J7" s="25" t="n">
        <f>I7-G7</f>
        <v>0</v>
      </c>
      <c r="K7" s="6" t="n">
        <f>(I7-C7)/C7</f>
        <v>0.0526500526500527</v>
      </c>
      <c r="L7" s="4" t="n">
        <f>I7-G7</f>
        <v>0</v>
      </c>
    </row>
    <row r="8" ht="16.5" customHeight="1">
      <c r="A8" s="19" t="s">
        <v>11</v>
      </c>
      <c r="B8" s="20" t="s">
        <v>187</v>
      </c>
      <c r="C8" s="20" t="n">
        <v>28.49</v>
      </c>
      <c r="D8" s="20" t="n">
        <v>25.49</v>
      </c>
      <c r="E8" s="20" t="n">
        <v>25.49</v>
      </c>
      <c r="F8" s="19" t="s">
        <v>187</v>
      </c>
      <c r="G8" s="19" t="n">
        <v>29.99</v>
      </c>
      <c r="H8" s="7" t="n">
        <f>(G8-C8)/C8</f>
        <v>0.0526500526500527</v>
      </c>
      <c r="I8" s="19" t="n">
        <v>29.99</v>
      </c>
      <c r="J8" s="25" t="n">
        <f>I8-G8</f>
        <v>0</v>
      </c>
      <c r="K8" s="6" t="n">
        <f>(I8-C8)/C8</f>
        <v>0.0526500526500527</v>
      </c>
      <c r="L8" s="4" t="n">
        <f>I8-G8</f>
        <v>0</v>
      </c>
    </row>
    <row r="9" ht="16.5" customHeight="1">
      <c r="A9" s="19" t="s">
        <v>12</v>
      </c>
      <c r="B9" s="20" t="s">
        <v>187</v>
      </c>
      <c r="C9" s="20" t="n">
        <v>33.99</v>
      </c>
      <c r="D9" s="20" t="n">
        <v>24.78</v>
      </c>
      <c r="E9" s="20" t="n">
        <v>24.78</v>
      </c>
      <c r="F9" s="19" t="s">
        <v>187</v>
      </c>
      <c r="G9" s="19" t="n">
        <v>34.99</v>
      </c>
      <c r="H9" s="7" t="n">
        <f>(G9-C9)/C9</f>
        <v>0.0294204177699323</v>
      </c>
      <c r="I9" s="19" t="n">
        <v>34.99</v>
      </c>
      <c r="J9" s="25" t="n">
        <f>I9-G9</f>
        <v>0</v>
      </c>
      <c r="K9" s="6" t="n">
        <f>(I9-C9)/C9</f>
        <v>0.0294204177699323</v>
      </c>
      <c r="L9" s="4" t="n">
        <f>I9-G9</f>
        <v>0</v>
      </c>
    </row>
    <row r="10" ht="16.5" customHeight="1">
      <c r="A10" s="19" t="s">
        <v>13</v>
      </c>
      <c r="B10" s="20" t="s">
        <v>188</v>
      </c>
      <c r="C10" s="20" t="n">
        <v>41.99</v>
      </c>
      <c r="D10" s="20" t="n">
        <v>38.63</v>
      </c>
      <c r="E10" s="20" t="n">
        <v>38.63</v>
      </c>
      <c r="F10" s="19" t="s">
        <v>188</v>
      </c>
      <c r="G10" s="19" t="n">
        <v>49.99</v>
      </c>
      <c r="H10" s="7" t="n">
        <f>(G10-C10)/C10</f>
        <v>0.190521552750655</v>
      </c>
      <c r="I10" s="19" t="n">
        <v>49.99</v>
      </c>
      <c r="J10" s="25" t="n">
        <f>I10-G10</f>
        <v>0</v>
      </c>
      <c r="K10" s="6" t="n">
        <f>(I10-C10)/C10</f>
        <v>0.190521552750655</v>
      </c>
      <c r="L10" s="4" t="n">
        <f>I10-G10</f>
        <v>0</v>
      </c>
    </row>
    <row r="11" ht="16.5" customHeight="1">
      <c r="A11" s="19" t="s">
        <v>14</v>
      </c>
      <c r="B11" s="20" t="s">
        <v>189</v>
      </c>
      <c r="C11" s="20" t="n">
        <v>29.49</v>
      </c>
      <c r="D11" s="20" t="n">
        <v>21.95</v>
      </c>
      <c r="E11" s="20" t="n">
        <v>21.95</v>
      </c>
      <c r="F11" s="19" t="s">
        <v>189</v>
      </c>
      <c r="G11" s="19" t="n">
        <v>30.99</v>
      </c>
      <c r="H11" s="7" t="n">
        <f>(G11-C11)/C11</f>
        <v>0.0508646998982706</v>
      </c>
      <c r="I11" s="19" t="n">
        <v>30.99</v>
      </c>
      <c r="J11" s="25" t="n">
        <f>I11-G11</f>
        <v>0</v>
      </c>
      <c r="K11" s="6" t="n">
        <f>(I11-C11)/C11</f>
        <v>0.0508646998982706</v>
      </c>
      <c r="L11" s="4" t="n">
        <f>I11-G11</f>
        <v>0</v>
      </c>
    </row>
    <row r="12" ht="16.5" customHeight="1">
      <c r="A12" s="19" t="s">
        <v>15</v>
      </c>
      <c r="B12" s="20" t="s">
        <v>187</v>
      </c>
      <c r="C12" s="20" t="n">
        <v>28.49</v>
      </c>
      <c r="D12" s="20" t="n">
        <v>25.2</v>
      </c>
      <c r="E12" s="20" t="n">
        <v>25.2</v>
      </c>
      <c r="F12" s="19" t="s">
        <v>187</v>
      </c>
      <c r="G12" s="19" t="n">
        <v>34.99</v>
      </c>
      <c r="H12" s="7" t="n">
        <f>(G12-C12)/C12</f>
        <v>0.228150228150228</v>
      </c>
      <c r="I12" s="19" t="n">
        <v>34.99</v>
      </c>
      <c r="J12" s="25" t="n">
        <f>I12-G12</f>
        <v>0</v>
      </c>
      <c r="K12" s="6" t="n">
        <f>(I12-C12)/C12</f>
        <v>0.228150228150228</v>
      </c>
      <c r="L12" s="4" t="n">
        <f>I12-G12</f>
        <v>0</v>
      </c>
    </row>
    <row r="13" ht="16.5" customHeight="1">
      <c r="A13" s="19" t="s">
        <v>16</v>
      </c>
      <c r="B13" s="20" t="s">
        <v>187</v>
      </c>
      <c r="C13" s="20" t="n">
        <v>30.99</v>
      </c>
      <c r="D13" s="20" t="n">
        <v>23.17</v>
      </c>
      <c r="E13" s="20" t="n">
        <v>23.17</v>
      </c>
      <c r="F13" s="19" t="s">
        <v>187</v>
      </c>
      <c r="G13" s="19" t="n">
        <v>29.99</v>
      </c>
      <c r="H13" s="7" t="n">
        <f>(G13-C13)/C13</f>
        <v>-0.0322684737011939</v>
      </c>
      <c r="I13" s="19" t="n">
        <v>30.99</v>
      </c>
      <c r="J13" s="25" t="n">
        <f>I13-G13</f>
        <v>1</v>
      </c>
      <c r="K13" s="6" t="n">
        <f>(I13-C13)/C13</f>
        <v>0</v>
      </c>
      <c r="L13" s="4" t="n">
        <f>I13-G13</f>
        <v>1</v>
      </c>
    </row>
    <row r="14" ht="16.5" customHeight="1">
      <c r="A14" s="19" t="s">
        <v>17</v>
      </c>
      <c r="B14" s="20" t="s">
        <v>187</v>
      </c>
      <c r="C14" s="20" t="n">
        <v>30.99</v>
      </c>
      <c r="D14" s="20" t="n">
        <v>23.17</v>
      </c>
      <c r="E14" s="20" t="n">
        <v>23.17</v>
      </c>
      <c r="F14" s="19" t="s">
        <v>187</v>
      </c>
      <c r="G14" s="19" t="n">
        <v>29.99</v>
      </c>
      <c r="H14" s="7" t="n">
        <f>(G14-C14)/C14</f>
        <v>-0.0322684737011939</v>
      </c>
      <c r="I14" s="19" t="n">
        <v>30.99</v>
      </c>
      <c r="J14" s="25" t="n">
        <f>I14-G14</f>
        <v>1</v>
      </c>
      <c r="K14" s="6" t="n">
        <f>(I14-C14)/C14</f>
        <v>0</v>
      </c>
      <c r="L14" s="4" t="n">
        <f>I14-G14</f>
        <v>1</v>
      </c>
    </row>
    <row r="15" ht="16.5" customHeight="1">
      <c r="A15" s="19" t="s">
        <v>18</v>
      </c>
      <c r="B15" s="20" t="s">
        <v>187</v>
      </c>
      <c r="C15" s="20" t="n">
        <v>33.99</v>
      </c>
      <c r="D15" s="20" t="n">
        <v>25.31</v>
      </c>
      <c r="E15" s="20" t="n">
        <v>25.31</v>
      </c>
      <c r="F15" s="19" t="s">
        <v>187</v>
      </c>
      <c r="G15" s="19" t="n">
        <v>34.99</v>
      </c>
      <c r="H15" s="7" t="n">
        <f>(G15-C15)/C15</f>
        <v>0.0294204177699323</v>
      </c>
      <c r="I15" s="19" t="n">
        <v>34.99</v>
      </c>
      <c r="J15" s="25" t="n">
        <f>I15-G15</f>
        <v>0</v>
      </c>
      <c r="K15" s="6" t="n">
        <f>(I15-C15)/C15</f>
        <v>0.0294204177699323</v>
      </c>
      <c r="L15" s="4" t="n">
        <f>I15-G15</f>
        <v>0</v>
      </c>
    </row>
    <row r="16" ht="16.5" customHeight="1">
      <c r="A16" s="19" t="s">
        <v>19</v>
      </c>
      <c r="B16" s="20" t="s">
        <v>187</v>
      </c>
      <c r="C16" s="20" t="n">
        <v>33.99</v>
      </c>
      <c r="D16" s="20" t="n">
        <v>24.78</v>
      </c>
      <c r="E16" s="20" t="n">
        <v>24.78</v>
      </c>
      <c r="F16" s="19" t="s">
        <v>187</v>
      </c>
      <c r="G16" s="19" t="n">
        <v>34.99</v>
      </c>
      <c r="H16" s="7" t="n">
        <f>(G16-C16)/C16</f>
        <v>0.0294204177699323</v>
      </c>
      <c r="I16" s="19" t="n">
        <v>34.99</v>
      </c>
      <c r="J16" s="25" t="n">
        <f>I16-G16</f>
        <v>0</v>
      </c>
      <c r="K16" s="6" t="n">
        <f>(I16-C16)/C16</f>
        <v>0.0294204177699323</v>
      </c>
      <c r="L16" s="4" t="n">
        <f>I16-G16</f>
        <v>0</v>
      </c>
    </row>
    <row r="17" ht="16.5" customHeight="1">
      <c r="A17" s="19" t="s">
        <v>20</v>
      </c>
      <c r="B17" s="20" t="s">
        <v>189</v>
      </c>
      <c r="C17" s="20" t="n">
        <v>29.99</v>
      </c>
      <c r="D17" s="20" t="n">
        <v>21.77</v>
      </c>
      <c r="E17" s="20" t="n">
        <v>21.77</v>
      </c>
      <c r="F17" s="19" t="s">
        <v>189</v>
      </c>
      <c r="G17" s="19" t="n">
        <v>30.99</v>
      </c>
      <c r="H17" s="7" t="n">
        <f>(G17-C17)/C17</f>
        <v>0.0333444481493831</v>
      </c>
      <c r="I17" s="19" t="n">
        <v>30.99</v>
      </c>
      <c r="J17" s="25" t="n">
        <f>I17-G17</f>
        <v>0</v>
      </c>
      <c r="K17" s="6" t="n">
        <f>(I17-C17)/C17</f>
        <v>0.0333444481493831</v>
      </c>
      <c r="L17" s="4" t="n">
        <f>I17-G17</f>
        <v>0</v>
      </c>
    </row>
    <row r="18" ht="16.5" customHeight="1">
      <c r="A18" s="19" t="s">
        <v>21</v>
      </c>
      <c r="B18" s="20" t="s">
        <v>187</v>
      </c>
      <c r="C18" s="20" t="n">
        <v>28.49</v>
      </c>
      <c r="D18" s="20" t="n">
        <v>25.49</v>
      </c>
      <c r="E18" s="20" t="n">
        <v>25.49</v>
      </c>
      <c r="F18" s="19" t="s">
        <v>187</v>
      </c>
      <c r="G18" s="19" t="n">
        <v>29.99</v>
      </c>
      <c r="H18" s="7" t="n">
        <f>(G18-C18)/C18</f>
        <v>0.0526500526500527</v>
      </c>
      <c r="I18" s="19" t="n">
        <v>29.99</v>
      </c>
      <c r="J18" s="25" t="n">
        <f>I18-G18</f>
        <v>0</v>
      </c>
      <c r="K18" s="6" t="n">
        <f>(I18-C18)/C18</f>
        <v>0.0526500526500527</v>
      </c>
      <c r="L18" s="4" t="n">
        <f>I18-G18</f>
        <v>0</v>
      </c>
    </row>
    <row r="19" ht="16.5" customHeight="1">
      <c r="A19" s="19" t="s">
        <v>22</v>
      </c>
      <c r="B19" s="20" t="s">
        <v>187</v>
      </c>
      <c r="C19" s="20" t="n">
        <v>28.49</v>
      </c>
      <c r="D19" s="20" t="n">
        <v>25.2</v>
      </c>
      <c r="E19" s="20" t="n">
        <v>25.2</v>
      </c>
      <c r="F19" s="19" t="s">
        <v>187</v>
      </c>
      <c r="G19" s="19" t="n">
        <v>34.99</v>
      </c>
      <c r="H19" s="7" t="n">
        <f>(G19-C19)/C19</f>
        <v>0.228150228150228</v>
      </c>
      <c r="I19" s="19" t="n">
        <v>34.99</v>
      </c>
      <c r="J19" s="25" t="n">
        <f>I19-G19</f>
        <v>0</v>
      </c>
      <c r="K19" s="6" t="n">
        <f>(I19-C19)/C19</f>
        <v>0.228150228150228</v>
      </c>
      <c r="L19" s="4" t="n">
        <f>I19-G19</f>
        <v>0</v>
      </c>
    </row>
    <row r="20" ht="16.5" customHeight="1">
      <c r="A20" s="19" t="s">
        <v>23</v>
      </c>
      <c r="B20" s="20" t="s">
        <v>187</v>
      </c>
      <c r="C20" s="20" t="n">
        <v>28.49</v>
      </c>
      <c r="D20" s="20" t="n">
        <v>25.49</v>
      </c>
      <c r="E20" s="20" t="n">
        <v>25.49</v>
      </c>
      <c r="F20" s="19" t="s">
        <v>187</v>
      </c>
      <c r="G20" s="19" t="n">
        <v>29.99</v>
      </c>
      <c r="H20" s="7" t="n">
        <f>(G20-C20)/C20</f>
        <v>0.0526500526500527</v>
      </c>
      <c r="I20" s="19" t="n">
        <v>29.99</v>
      </c>
      <c r="J20" s="25" t="n">
        <f>I20-G20</f>
        <v>0</v>
      </c>
      <c r="K20" s="6" t="n">
        <f>(I20-C20)/C20</f>
        <v>0.0526500526500527</v>
      </c>
      <c r="L20" s="4" t="n">
        <f>I20-G20</f>
        <v>0</v>
      </c>
    </row>
    <row r="21" ht="16.5" customHeight="1">
      <c r="A21" s="19" t="s">
        <v>24</v>
      </c>
      <c r="B21" s="20" t="s">
        <v>187</v>
      </c>
      <c r="C21" s="20" t="n">
        <v>28.49</v>
      </c>
      <c r="D21" s="20" t="n">
        <v>25.49</v>
      </c>
      <c r="E21" s="20" t="n">
        <v>25.49</v>
      </c>
      <c r="F21" s="19" t="s">
        <v>187</v>
      </c>
      <c r="G21" s="19" t="n">
        <v>29.99</v>
      </c>
      <c r="H21" s="7" t="n">
        <f>(G21-C21)/C21</f>
        <v>0.0526500526500527</v>
      </c>
      <c r="I21" s="19" t="n">
        <v>29.99</v>
      </c>
      <c r="J21" s="25" t="n">
        <f>I21-G21</f>
        <v>0</v>
      </c>
      <c r="K21" s="6" t="n">
        <f>(I21-C21)/C21</f>
        <v>0.0526500526500527</v>
      </c>
      <c r="L21" s="4" t="n">
        <f>I21-G21</f>
        <v>0</v>
      </c>
    </row>
    <row r="22" ht="16.5" customHeight="1">
      <c r="A22" s="19" t="s">
        <v>25</v>
      </c>
      <c r="B22" s="20" t="s">
        <v>187</v>
      </c>
      <c r="C22" s="20" t="n">
        <v>28.49</v>
      </c>
      <c r="D22" s="20" t="n">
        <v>25.49</v>
      </c>
      <c r="E22" s="20" t="n">
        <v>25.49</v>
      </c>
      <c r="F22" s="19" t="s">
        <v>187</v>
      </c>
      <c r="G22" s="19" t="n">
        <v>29.99</v>
      </c>
      <c r="H22" s="7" t="n">
        <f>(G22-C22)/C22</f>
        <v>0.0526500526500527</v>
      </c>
      <c r="I22" s="19" t="n">
        <v>29.99</v>
      </c>
      <c r="J22" s="25" t="n">
        <f>I22-G22</f>
        <v>0</v>
      </c>
      <c r="K22" s="6" t="n">
        <f>(I22-C22)/C22</f>
        <v>0.0526500526500527</v>
      </c>
      <c r="L22" s="4" t="n">
        <f>I22-G22</f>
        <v>0</v>
      </c>
    </row>
    <row r="23" ht="16.5" customHeight="1">
      <c r="A23" s="19" t="s">
        <v>26</v>
      </c>
      <c r="B23" s="20" t="s">
        <v>189</v>
      </c>
      <c r="C23" s="20" t="n">
        <v>28.99</v>
      </c>
      <c r="D23" s="20" t="n">
        <v>22.51</v>
      </c>
      <c r="E23" s="20" t="n">
        <v>22.51</v>
      </c>
      <c r="F23" s="19" t="s">
        <v>189</v>
      </c>
      <c r="G23" s="19" t="n">
        <v>30.99</v>
      </c>
      <c r="H23" s="7" t="n">
        <f>(G23-C23)/C23</f>
        <v>0.0689893066574681</v>
      </c>
      <c r="I23" s="19" t="n">
        <v>30.99</v>
      </c>
      <c r="J23" s="25" t="n">
        <f>I23-G23</f>
        <v>0</v>
      </c>
      <c r="K23" s="6" t="n">
        <f>(I23-C23)/C23</f>
        <v>0.0689893066574681</v>
      </c>
      <c r="L23" s="4" t="n">
        <f>I23-G23</f>
        <v>0</v>
      </c>
    </row>
    <row r="24" ht="16.5" customHeight="1">
      <c r="A24" s="19" t="s">
        <v>27</v>
      </c>
      <c r="B24" s="20" t="s">
        <v>187</v>
      </c>
      <c r="C24" s="20" t="n">
        <v>28.49</v>
      </c>
      <c r="D24" s="20" t="n">
        <v>25.49</v>
      </c>
      <c r="E24" s="20" t="n">
        <v>25.49</v>
      </c>
      <c r="F24" s="19" t="s">
        <v>187</v>
      </c>
      <c r="G24" s="19" t="n">
        <v>29.99</v>
      </c>
      <c r="H24" s="7" t="n">
        <f>(G24-C24)/C24</f>
        <v>0.0526500526500527</v>
      </c>
      <c r="I24" s="19" t="n">
        <v>29.99</v>
      </c>
      <c r="J24" s="25" t="n">
        <f>I24-G24</f>
        <v>0</v>
      </c>
      <c r="K24" s="6" t="n">
        <f>(I24-C24)/C24</f>
        <v>0.0526500526500527</v>
      </c>
      <c r="L24" s="4" t="n">
        <f>I24-G24</f>
        <v>0</v>
      </c>
    </row>
    <row r="25" ht="16.5" customHeight="1">
      <c r="A25" s="19" t="s">
        <v>28</v>
      </c>
      <c r="B25" s="20" t="s">
        <v>190</v>
      </c>
      <c r="C25" s="20" t="n">
        <v>159.9</v>
      </c>
      <c r="D25" s="20" t="n">
        <v>152.92</v>
      </c>
      <c r="E25" s="20" t="n">
        <v>152.92</v>
      </c>
      <c r="F25" s="19" t="s">
        <v>190</v>
      </c>
      <c r="G25" s="19" t="n">
        <v>199.9</v>
      </c>
      <c r="H25" s="7" t="n">
        <f>(G25-C25)/C25</f>
        <v>0.250156347717323</v>
      </c>
      <c r="I25" s="19" t="n">
        <v>199.9</v>
      </c>
      <c r="J25" s="25" t="n">
        <f>I25-G25</f>
        <v>0</v>
      </c>
      <c r="K25" s="6" t="n">
        <f>(I25-C25)/C25</f>
        <v>0.250156347717323</v>
      </c>
      <c r="L25" s="4" t="n">
        <f>I25-G25</f>
        <v>0</v>
      </c>
    </row>
    <row r="26" ht="16.5" customHeight="1">
      <c r="A26" s="19" t="s">
        <v>29</v>
      </c>
      <c r="B26" s="20" t="s">
        <v>187</v>
      </c>
      <c r="C26" s="20" t="n">
        <v>28.49</v>
      </c>
      <c r="D26" s="20" t="n">
        <v>25.49</v>
      </c>
      <c r="E26" s="20" t="n">
        <v>25.49</v>
      </c>
      <c r="F26" s="19" t="s">
        <v>187</v>
      </c>
      <c r="G26" s="19" t="n">
        <v>29.99</v>
      </c>
      <c r="H26" s="7" t="n">
        <f>(G26-C26)/C26</f>
        <v>0.0526500526500527</v>
      </c>
      <c r="I26" s="19" t="n">
        <v>29.99</v>
      </c>
      <c r="J26" s="25" t="n">
        <f>I26-G26</f>
        <v>0</v>
      </c>
      <c r="K26" s="6" t="n">
        <f>(I26-C26)/C26</f>
        <v>0.0526500526500527</v>
      </c>
      <c r="L26" s="4" t="n">
        <f>I26-G26</f>
        <v>0</v>
      </c>
    </row>
    <row r="27" ht="16.5" customHeight="1">
      <c r="A27" s="19" t="s">
        <v>30</v>
      </c>
      <c r="B27" s="20" t="s">
        <v>187</v>
      </c>
      <c r="C27" s="20" t="n">
        <v>28.49</v>
      </c>
      <c r="D27" s="20" t="n">
        <v>25.49</v>
      </c>
      <c r="E27" s="20" t="n">
        <v>25.49</v>
      </c>
      <c r="F27" s="19" t="s">
        <v>187</v>
      </c>
      <c r="G27" s="19" t="n">
        <v>29.99</v>
      </c>
      <c r="H27" s="7" t="n">
        <f>(G27-C27)/C27</f>
        <v>0.0526500526500527</v>
      </c>
      <c r="I27" s="19" t="n">
        <v>29.99</v>
      </c>
      <c r="J27" s="25" t="n">
        <f>I27-G27</f>
        <v>0</v>
      </c>
      <c r="K27" s="6" t="n">
        <f>(I27-C27)/C27</f>
        <v>0.0526500526500527</v>
      </c>
      <c r="L27" s="4" t="n">
        <f>I27-G27</f>
        <v>0</v>
      </c>
    </row>
    <row r="28" ht="16.5" customHeight="1">
      <c r="A28" s="19" t="s">
        <v>31</v>
      </c>
      <c r="B28" s="20" t="s">
        <v>191</v>
      </c>
      <c r="C28" s="20" t="n">
        <v>57.99</v>
      </c>
      <c r="D28" s="20" t="n">
        <v>49.58</v>
      </c>
      <c r="E28" s="20" t="n">
        <v>49.58</v>
      </c>
      <c r="F28" s="19" t="s">
        <v>191</v>
      </c>
      <c r="G28" s="19" t="n">
        <v>69.99</v>
      </c>
      <c r="H28" s="7" t="n">
        <f>(G28-C28)/C28</f>
        <v>0.206932229694775</v>
      </c>
      <c r="I28" s="19" t="n">
        <v>69.99</v>
      </c>
      <c r="J28" s="25" t="n">
        <f>I28-G28</f>
        <v>0</v>
      </c>
      <c r="K28" s="6" t="n">
        <f>(I28-C28)/C28</f>
        <v>0.206932229694775</v>
      </c>
      <c r="L28" s="4" t="n">
        <f>I28-G28</f>
        <v>0</v>
      </c>
    </row>
    <row r="29" ht="16.5" customHeight="1">
      <c r="A29" s="19" t="s">
        <v>32</v>
      </c>
      <c r="B29" s="20" t="s">
        <v>187</v>
      </c>
      <c r="C29" s="20" t="n">
        <v>28.49</v>
      </c>
      <c r="D29" s="20" t="n">
        <v>25.49</v>
      </c>
      <c r="E29" s="20" t="n">
        <v>25.49</v>
      </c>
      <c r="F29" s="19" t="s">
        <v>187</v>
      </c>
      <c r="G29" s="19" t="n">
        <v>29.99</v>
      </c>
      <c r="H29" s="7" t="n">
        <f>(G29-C29)/C29</f>
        <v>0.0526500526500527</v>
      </c>
      <c r="I29" s="19" t="n">
        <v>29.99</v>
      </c>
      <c r="J29" s="25" t="n">
        <f>I29-G29</f>
        <v>0</v>
      </c>
      <c r="K29" s="6" t="n">
        <f>(I29-C29)/C29</f>
        <v>0.0526500526500527</v>
      </c>
      <c r="L29" s="4" t="n">
        <f>I29-G29</f>
        <v>0</v>
      </c>
    </row>
    <row r="30" ht="16.5" customHeight="1">
      <c r="A30" s="19" t="s">
        <v>33</v>
      </c>
      <c r="B30" s="20" t="s">
        <v>187</v>
      </c>
      <c r="C30" s="20" t="n">
        <v>30.99</v>
      </c>
      <c r="D30" s="20" t="n">
        <v>23.17</v>
      </c>
      <c r="E30" s="20" t="n">
        <v>23.17</v>
      </c>
      <c r="F30" s="19" t="s">
        <v>187</v>
      </c>
      <c r="G30" s="19" t="n">
        <v>29.99</v>
      </c>
      <c r="H30" s="7" t="n">
        <f>(G30-C30)/C30</f>
        <v>-0.0322684737011939</v>
      </c>
      <c r="I30" s="19" t="n">
        <v>29.99</v>
      </c>
      <c r="J30" s="25" t="n">
        <f>I30-G30</f>
        <v>0</v>
      </c>
      <c r="K30" s="6" t="n">
        <f>(I30-C30)/C30</f>
        <v>-0.0322684737011939</v>
      </c>
      <c r="L30" s="4" t="n">
        <f>I30-G30</f>
        <v>0</v>
      </c>
    </row>
    <row r="31" ht="16.5" customHeight="1">
      <c r="A31" s="19" t="s">
        <v>34</v>
      </c>
      <c r="B31" s="20" t="s">
        <v>187</v>
      </c>
      <c r="C31" s="20" t="n">
        <v>33.99</v>
      </c>
      <c r="D31" s="20" t="n">
        <v>24.94</v>
      </c>
      <c r="E31" s="20" t="n">
        <v>24.94</v>
      </c>
      <c r="F31" s="19" t="s">
        <v>187</v>
      </c>
      <c r="G31" s="19" t="n">
        <v>34.99</v>
      </c>
      <c r="H31" s="7" t="n">
        <f>(G31-C31)/C31</f>
        <v>0.0294204177699323</v>
      </c>
      <c r="I31" s="19" t="n">
        <v>34.99</v>
      </c>
      <c r="J31" s="25" t="n">
        <f>I31-G31</f>
        <v>0</v>
      </c>
      <c r="K31" s="6" t="n">
        <f>(I31-C31)/C31</f>
        <v>0.0294204177699323</v>
      </c>
      <c r="L31" s="4" t="n">
        <f>I31-G31</f>
        <v>0</v>
      </c>
    </row>
    <row r="32" ht="16.5" customHeight="1">
      <c r="A32" s="19" t="s">
        <v>35</v>
      </c>
      <c r="B32" s="20" t="s">
        <v>192</v>
      </c>
      <c r="C32" s="20" t="n">
        <v>35.99</v>
      </c>
      <c r="D32" s="20" t="n">
        <v>33.92</v>
      </c>
      <c r="E32" s="20" t="n">
        <v>33.92</v>
      </c>
      <c r="F32" s="19" t="s">
        <v>192</v>
      </c>
      <c r="G32" s="19" t="n">
        <v>39.99</v>
      </c>
      <c r="H32" s="7" t="n">
        <f>(G32-C32)/C32</f>
        <v>0.111141983884412</v>
      </c>
      <c r="I32" s="19" t="n">
        <v>39.99</v>
      </c>
      <c r="J32" s="25" t="n">
        <f>I32-G32</f>
        <v>0</v>
      </c>
      <c r="K32" s="6" t="n">
        <f>(I32-C32)/C32</f>
        <v>0.111141983884412</v>
      </c>
      <c r="L32" s="4" t="n">
        <f>I32-G32</f>
        <v>0</v>
      </c>
    </row>
    <row r="33" ht="16.5" customHeight="1">
      <c r="A33" s="19" t="s">
        <v>36</v>
      </c>
      <c r="B33" s="20" t="s">
        <v>187</v>
      </c>
      <c r="C33" s="20" t="n">
        <v>28.49</v>
      </c>
      <c r="D33" s="20" t="n">
        <v>25.49</v>
      </c>
      <c r="E33" s="20" t="n">
        <v>25.49</v>
      </c>
      <c r="F33" s="19" t="s">
        <v>187</v>
      </c>
      <c r="G33" s="19" t="n">
        <v>29.99</v>
      </c>
      <c r="H33" s="7" t="n">
        <f>(G33-C33)/C33</f>
        <v>0.0526500526500527</v>
      </c>
      <c r="I33" s="19" t="n">
        <v>29.99</v>
      </c>
      <c r="J33" s="25" t="n">
        <f>I33-G33</f>
        <v>0</v>
      </c>
      <c r="K33" s="6" t="n">
        <f>(I33-C33)/C33</f>
        <v>0.0526500526500527</v>
      </c>
      <c r="L33" s="4" t="n">
        <f>I33-G33</f>
        <v>0</v>
      </c>
    </row>
    <row r="34" ht="16.5" customHeight="1">
      <c r="A34" s="19" t="s">
        <v>37</v>
      </c>
      <c r="B34" s="20" t="s">
        <v>187</v>
      </c>
      <c r="C34" s="20" t="n">
        <v>28.49</v>
      </c>
      <c r="D34" s="20" t="n">
        <v>25.49</v>
      </c>
      <c r="E34" s="20" t="n">
        <v>25.49</v>
      </c>
      <c r="F34" s="19" t="s">
        <v>187</v>
      </c>
      <c r="G34" s="19" t="n">
        <v>29.99</v>
      </c>
      <c r="H34" s="7" t="n">
        <f>(G34-C34)/C34</f>
        <v>0.0526500526500527</v>
      </c>
      <c r="I34" s="19" t="n">
        <v>29.99</v>
      </c>
      <c r="J34" s="25" t="n">
        <f>I34-G34</f>
        <v>0</v>
      </c>
      <c r="K34" s="6" t="n">
        <f>(I34-C34)/C34</f>
        <v>0.0526500526500527</v>
      </c>
      <c r="L34" s="4" t="n">
        <f>I34-G34</f>
        <v>0</v>
      </c>
    </row>
    <row r="35" ht="16.5" customHeight="1">
      <c r="A35" s="19" t="s">
        <v>38</v>
      </c>
      <c r="B35" s="20" t="s">
        <v>187</v>
      </c>
      <c r="C35" s="20" t="n">
        <v>28.49</v>
      </c>
      <c r="D35" s="20" t="n">
        <v>25.49</v>
      </c>
      <c r="E35" s="20" t="n">
        <v>25.49</v>
      </c>
      <c r="F35" s="19" t="s">
        <v>187</v>
      </c>
      <c r="G35" s="19" t="n">
        <v>29.99</v>
      </c>
      <c r="H35" s="7" t="n">
        <f>(G35-C35)/C35</f>
        <v>0.0526500526500527</v>
      </c>
      <c r="I35" s="19" t="n">
        <v>29.99</v>
      </c>
      <c r="J35" s="25" t="n">
        <f>I35-G35</f>
        <v>0</v>
      </c>
      <c r="K35" s="6" t="n">
        <f>(I35-C35)/C35</f>
        <v>0.0526500526500527</v>
      </c>
      <c r="L35" s="4" t="n">
        <f>I35-G35</f>
        <v>0</v>
      </c>
    </row>
    <row r="36" ht="16.5" customHeight="1">
      <c r="A36" s="19" t="s">
        <v>39</v>
      </c>
      <c r="B36" s="20" t="s">
        <v>193</v>
      </c>
      <c r="C36" s="20" t="n">
        <v>27500</v>
      </c>
      <c r="D36" s="20" t="n">
        <v>24993</v>
      </c>
      <c r="E36" s="20" t="n">
        <v>24993</v>
      </c>
      <c r="F36" s="19" t="s">
        <v>193</v>
      </c>
      <c r="G36" s="19" t="n">
        <v>34990</v>
      </c>
      <c r="H36" s="7" t="n">
        <f>(G36-C36)/C36</f>
        <v>0.272363636363636</v>
      </c>
      <c r="I36" s="19" t="n">
        <v>34990</v>
      </c>
      <c r="J36" s="25" t="n">
        <f>I36-G36</f>
        <v>0</v>
      </c>
      <c r="K36" s="6" t="n">
        <f>(I36-C36)/C36</f>
        <v>0.272363636363636</v>
      </c>
      <c r="L36" s="4" t="n">
        <f>I36-G36</f>
        <v>0</v>
      </c>
    </row>
    <row r="37" ht="16.5" customHeight="1">
      <c r="A37" s="19" t="s">
        <v>40</v>
      </c>
      <c r="B37" s="20" t="s">
        <v>194</v>
      </c>
      <c r="C37" s="20" t="n">
        <v>188</v>
      </c>
      <c r="D37" s="20" t="n">
        <v>166.8</v>
      </c>
      <c r="E37" s="20" t="n">
        <v>166.8</v>
      </c>
      <c r="F37" s="19" t="s">
        <v>194</v>
      </c>
      <c r="G37" s="19" t="n">
        <v>198</v>
      </c>
      <c r="H37" s="7" t="n">
        <f>(G37-C37)/C37</f>
        <v>0.0531914893617021</v>
      </c>
      <c r="I37" s="19" t="n">
        <v>198</v>
      </c>
      <c r="J37" s="25" t="n">
        <f>I37-G37</f>
        <v>0</v>
      </c>
      <c r="K37" s="6" t="n">
        <f>(I37-C37)/C37</f>
        <v>0.0531914893617021</v>
      </c>
      <c r="L37" s="4" t="n">
        <f>I37-G37</f>
        <v>0</v>
      </c>
    </row>
    <row r="38" ht="16.5" customHeight="1">
      <c r="A38" s="19" t="s">
        <v>41</v>
      </c>
      <c r="B38" s="20" t="s">
        <v>195</v>
      </c>
      <c r="C38" s="20" t="n">
        <v>127900</v>
      </c>
      <c r="D38" s="20" t="n">
        <v>92785.71</v>
      </c>
      <c r="E38" s="20" t="n">
        <v>92785.71</v>
      </c>
      <c r="F38" s="19" t="s">
        <v>195</v>
      </c>
      <c r="G38" s="19" t="n">
        <v>129900</v>
      </c>
      <c r="H38" s="7" t="n">
        <f>(G38-C38)/C38</f>
        <v>0.0156372165754496</v>
      </c>
      <c r="I38" s="19" t="n">
        <v>129900</v>
      </c>
      <c r="J38" s="25" t="n">
        <f>I38-G38</f>
        <v>0</v>
      </c>
      <c r="K38" s="6" t="n">
        <f>(I38-C38)/C38</f>
        <v>0.0156372165754496</v>
      </c>
      <c r="L38" s="4" t="n">
        <f>I38-G38</f>
        <v>0</v>
      </c>
    </row>
    <row r="39" ht="16.5" customHeight="1">
      <c r="A39" s="19" t="s">
        <v>42</v>
      </c>
      <c r="B39" s="20" t="s">
        <v>187</v>
      </c>
      <c r="C39" s="20" t="n">
        <v>28.49</v>
      </c>
      <c r="D39" s="20" t="n">
        <v>25.49</v>
      </c>
      <c r="E39" s="20" t="n">
        <v>25.49</v>
      </c>
      <c r="F39" s="19" t="s">
        <v>187</v>
      </c>
      <c r="G39" s="19" t="n">
        <v>29.99</v>
      </c>
      <c r="H39" s="7" t="n">
        <f>(G39-C39)/C39</f>
        <v>0.0526500526500527</v>
      </c>
      <c r="I39" s="19" t="n">
        <v>29.99</v>
      </c>
      <c r="J39" s="25" t="n">
        <f>I39-G39</f>
        <v>0</v>
      </c>
      <c r="K39" s="6" t="n">
        <f>(I39-C39)/C39</f>
        <v>0.0526500526500527</v>
      </c>
      <c r="L39" s="4" t="n">
        <f>I39-G39</f>
        <v>0</v>
      </c>
    </row>
    <row r="40" ht="16.5" customHeight="1">
      <c r="A40" s="19" t="s">
        <v>43</v>
      </c>
      <c r="B40" s="20" t="s">
        <v>187</v>
      </c>
      <c r="C40" s="20" t="n">
        <v>28.49</v>
      </c>
      <c r="D40" s="20" t="n">
        <v>25.49</v>
      </c>
      <c r="E40" s="20" t="n">
        <v>25.49</v>
      </c>
      <c r="F40" s="19" t="s">
        <v>187</v>
      </c>
      <c r="G40" s="19" t="n">
        <v>29.99</v>
      </c>
      <c r="H40" s="7" t="n">
        <f>(G40-C40)/C40</f>
        <v>0.0526500526500527</v>
      </c>
      <c r="I40" s="19" t="n">
        <v>29.99</v>
      </c>
      <c r="J40" s="25" t="n">
        <f>I40-G40</f>
        <v>0</v>
      </c>
      <c r="K40" s="6" t="n">
        <f>(I40-C40)/C40</f>
        <v>0.0526500526500527</v>
      </c>
      <c r="L40" s="4" t="n">
        <f>I40-G40</f>
        <v>0</v>
      </c>
    </row>
    <row r="41" ht="16.5" customHeight="1">
      <c r="A41" s="19" t="s">
        <v>44</v>
      </c>
      <c r="B41" s="20" t="s">
        <v>187</v>
      </c>
      <c r="C41" s="20" t="n">
        <v>28.49</v>
      </c>
      <c r="D41" s="20" t="n">
        <v>25.49</v>
      </c>
      <c r="E41" s="20" t="n">
        <v>25.49</v>
      </c>
      <c r="F41" s="19" t="s">
        <v>187</v>
      </c>
      <c r="G41" s="19" t="n">
        <v>29.99</v>
      </c>
      <c r="H41" s="7" t="n">
        <f>(G41-C41)/C41</f>
        <v>0.0526500526500527</v>
      </c>
      <c r="I41" s="19" t="n">
        <v>29.99</v>
      </c>
      <c r="J41" s="25" t="n">
        <f>I41-G41</f>
        <v>0</v>
      </c>
      <c r="K41" s="6" t="n">
        <f>(I41-C41)/C41</f>
        <v>0.0526500526500527</v>
      </c>
      <c r="L41" s="4" t="n">
        <f>I41-G41</f>
        <v>0</v>
      </c>
    </row>
    <row r="42" ht="16.5" customHeight="1">
      <c r="A42" s="19" t="s">
        <v>45</v>
      </c>
      <c r="B42" s="20" t="s">
        <v>187</v>
      </c>
      <c r="C42" s="20" t="n">
        <v>28.49</v>
      </c>
      <c r="D42" s="20" t="n">
        <v>25.2</v>
      </c>
      <c r="E42" s="20" t="n">
        <v>25.2</v>
      </c>
      <c r="F42" s="19" t="s">
        <v>187</v>
      </c>
      <c r="G42" s="19" t="n">
        <v>34.99</v>
      </c>
      <c r="H42" s="7" t="n">
        <f>(G42-C42)/C42</f>
        <v>0.228150228150228</v>
      </c>
      <c r="I42" s="19" t="n">
        <v>34.99</v>
      </c>
      <c r="J42" s="25" t="n">
        <f>I42-G42</f>
        <v>0</v>
      </c>
      <c r="K42" s="6" t="n">
        <f>(I42-C42)/C42</f>
        <v>0.228150228150228</v>
      </c>
      <c r="L42" s="4" t="n">
        <f>I42-G42</f>
        <v>0</v>
      </c>
    </row>
    <row r="43" ht="16.5" customHeight="1">
      <c r="A43" s="19" t="s">
        <v>46</v>
      </c>
      <c r="B43" s="20" t="s">
        <v>189</v>
      </c>
      <c r="C43" s="20" t="n">
        <v>30.52</v>
      </c>
      <c r="D43" s="20" t="n">
        <v>21.07</v>
      </c>
      <c r="E43" s="20" t="n">
        <v>21.07</v>
      </c>
      <c r="F43" s="19" t="s">
        <v>189</v>
      </c>
      <c r="G43" s="19" t="n">
        <v>30.99</v>
      </c>
      <c r="H43" s="7" t="n">
        <f>(G43-C43)/C43</f>
        <v>0.0153997378768021</v>
      </c>
      <c r="I43" s="19" t="n">
        <v>30.99</v>
      </c>
      <c r="J43" s="25" t="n">
        <f>I43-G43</f>
        <v>0</v>
      </c>
      <c r="K43" s="6" t="n">
        <f>(I43-C43)/C43</f>
        <v>0.0153997378768021</v>
      </c>
      <c r="L43" s="4" t="n">
        <f>I43-G43</f>
        <v>0</v>
      </c>
    </row>
    <row r="44" ht="16.5" customHeight="1">
      <c r="A44" s="19" t="s">
        <v>47</v>
      </c>
      <c r="B44" s="20" t="s">
        <v>189</v>
      </c>
      <c r="C44" s="20" t="n">
        <v>29.49</v>
      </c>
      <c r="D44" s="20" t="n">
        <v>22.14</v>
      </c>
      <c r="E44" s="20" t="n">
        <v>22.14</v>
      </c>
      <c r="F44" s="19" t="s">
        <v>189</v>
      </c>
      <c r="G44" s="19" t="n">
        <v>30.99</v>
      </c>
      <c r="H44" s="7" t="n">
        <f>(G44-C44)/C44</f>
        <v>0.0508646998982706</v>
      </c>
      <c r="I44" s="19" t="n">
        <v>30.99</v>
      </c>
      <c r="J44" s="25" t="n">
        <f>I44-G44</f>
        <v>0</v>
      </c>
      <c r="K44" s="6" t="n">
        <f>(I44-C44)/C44</f>
        <v>0.0508646998982706</v>
      </c>
      <c r="L44" s="4" t="n">
        <f>I44-G44</f>
        <v>0</v>
      </c>
    </row>
    <row r="45" ht="16.5" customHeight="1">
      <c r="A45" s="19" t="s">
        <v>48</v>
      </c>
      <c r="B45" s="20" t="s">
        <v>196</v>
      </c>
      <c r="C45" s="20" t="n">
        <v>769</v>
      </c>
      <c r="D45" s="20" t="n">
        <v>561.28</v>
      </c>
      <c r="E45" s="20" t="n">
        <v>561.28</v>
      </c>
      <c r="F45" s="19" t="s">
        <v>196</v>
      </c>
      <c r="G45" s="19" t="n">
        <v>799</v>
      </c>
      <c r="H45" s="7" t="n">
        <f>(G45-C45)/C45</f>
        <v>0.0390117035110533</v>
      </c>
      <c r="I45" s="19" t="n">
        <v>799</v>
      </c>
      <c r="J45" s="25" t="n">
        <f>I45-G45</f>
        <v>0</v>
      </c>
      <c r="K45" s="6" t="n">
        <f>(I45-C45)/C45</f>
        <v>0.0390117035110533</v>
      </c>
      <c r="L45" s="4" t="n">
        <f>I45-G45</f>
        <v>0</v>
      </c>
    </row>
    <row r="46" ht="16.5" customHeight="1">
      <c r="A46" s="19" t="s">
        <v>49</v>
      </c>
      <c r="B46" s="20" t="s">
        <v>197</v>
      </c>
      <c r="C46" s="20" t="n">
        <v>229</v>
      </c>
      <c r="D46" s="20" t="n">
        <v>169.32</v>
      </c>
      <c r="E46" s="20" t="n">
        <v>169.32</v>
      </c>
      <c r="F46" s="19" t="s">
        <v>197</v>
      </c>
      <c r="G46" s="19" t="n">
        <v>249</v>
      </c>
      <c r="H46" s="7" t="n">
        <f>(G46-C46)/C46</f>
        <v>0.0873362445414847</v>
      </c>
      <c r="I46" s="19" t="n">
        <v>249</v>
      </c>
      <c r="J46" s="25" t="n">
        <f>I46-G46</f>
        <v>0</v>
      </c>
      <c r="K46" s="6" t="n">
        <f>(I46-C46)/C46</f>
        <v>0.0873362445414847</v>
      </c>
      <c r="L46" s="4" t="n">
        <f>I46-G46</f>
        <v>0</v>
      </c>
    </row>
    <row r="47" ht="16.5" customHeight="1">
      <c r="A47" s="19" t="s">
        <v>50</v>
      </c>
      <c r="B47" s="20" t="s">
        <v>187</v>
      </c>
      <c r="C47" s="20" t="n">
        <v>28.49</v>
      </c>
      <c r="D47" s="20" t="n">
        <v>25.49</v>
      </c>
      <c r="E47" s="20" t="n">
        <v>25.49</v>
      </c>
      <c r="F47" s="19" t="s">
        <v>187</v>
      </c>
      <c r="G47" s="19" t="n">
        <v>29.99</v>
      </c>
      <c r="H47" s="7" t="n">
        <f>(G47-C47)/C47</f>
        <v>0.0526500526500527</v>
      </c>
      <c r="I47" s="19" t="n">
        <v>29.99</v>
      </c>
      <c r="J47" s="25" t="n">
        <f>I47-G47</f>
        <v>0</v>
      </c>
      <c r="K47" s="6" t="n">
        <f>(I47-C47)/C47</f>
        <v>0.0526500526500527</v>
      </c>
      <c r="L47" s="4" t="n">
        <f>I47-G47</f>
        <v>0</v>
      </c>
    </row>
    <row r="48" ht="16.5" customHeight="1">
      <c r="A48" s="19" t="s">
        <v>51</v>
      </c>
      <c r="B48" s="20" t="s">
        <v>187</v>
      </c>
      <c r="C48" s="20" t="n">
        <v>28.49</v>
      </c>
      <c r="D48" s="20" t="n">
        <v>25.49</v>
      </c>
      <c r="E48" s="20" t="n">
        <v>25.49</v>
      </c>
      <c r="F48" s="19" t="s">
        <v>187</v>
      </c>
      <c r="G48" s="19" t="n">
        <v>29.99</v>
      </c>
      <c r="H48" s="7" t="n">
        <f>(G48-C48)/C48</f>
        <v>0.0526500526500527</v>
      </c>
      <c r="I48" s="19" t="n">
        <v>29.99</v>
      </c>
      <c r="J48" s="25" t="n">
        <f>I48-G48</f>
        <v>0</v>
      </c>
      <c r="K48" s="6" t="n">
        <f>(I48-C48)/C48</f>
        <v>0.0526500526500527</v>
      </c>
      <c r="L48" s="4" t="n">
        <f>I48-G48</f>
        <v>0</v>
      </c>
    </row>
    <row r="49" ht="16.5" customHeight="1">
      <c r="A49" s="19" t="s">
        <v>52</v>
      </c>
      <c r="B49" s="20" t="s">
        <v>187</v>
      </c>
      <c r="C49" s="20" t="n">
        <v>28.49</v>
      </c>
      <c r="D49" s="20" t="n">
        <v>25.49</v>
      </c>
      <c r="E49" s="20" t="n">
        <v>25.49</v>
      </c>
      <c r="F49" s="19" t="s">
        <v>187</v>
      </c>
      <c r="G49" s="19" t="n">
        <v>29.99</v>
      </c>
      <c r="H49" s="7" t="n">
        <f>(G49-C49)/C49</f>
        <v>0.0526500526500527</v>
      </c>
      <c r="I49" s="19" t="n">
        <v>29.99</v>
      </c>
      <c r="J49" s="25" t="n">
        <f>I49-G49</f>
        <v>0</v>
      </c>
      <c r="K49" s="6" t="n">
        <f>(I49-C49)/C49</f>
        <v>0.0526500526500527</v>
      </c>
      <c r="L49" s="4" t="n">
        <f>I49-G49</f>
        <v>0</v>
      </c>
    </row>
    <row r="50" ht="16.5" customHeight="1">
      <c r="A50" s="19" t="s">
        <v>53</v>
      </c>
      <c r="B50" s="20" t="s">
        <v>198</v>
      </c>
      <c r="C50" s="20" t="n">
        <v>449.99</v>
      </c>
      <c r="D50" s="20" t="n">
        <v>1118.41</v>
      </c>
      <c r="E50" s="20" t="n">
        <v>1118.41</v>
      </c>
      <c r="F50" s="19" t="s">
        <v>198</v>
      </c>
      <c r="G50" s="19" t="n">
        <v>1499.99</v>
      </c>
      <c r="H50" s="7" t="n">
        <f>(G50-C50)/C50</f>
        <v>2.33338518633747</v>
      </c>
      <c r="I50" s="19" t="n">
        <v>1499.99</v>
      </c>
      <c r="J50" s="25" t="n">
        <f>I50-G50</f>
        <v>0</v>
      </c>
      <c r="K50" s="6" t="n">
        <f>(I50-C50)/C50</f>
        <v>2.33338518633747</v>
      </c>
      <c r="L50" s="4" t="n">
        <f>I50-G50</f>
        <v>0</v>
      </c>
    </row>
    <row r="51" ht="16.5" customHeight="1">
      <c r="A51" s="19" t="s">
        <v>54</v>
      </c>
      <c r="B51" s="20" t="s">
        <v>187</v>
      </c>
      <c r="C51" s="20" t="n">
        <v>28.49</v>
      </c>
      <c r="D51" s="20" t="n">
        <v>25.49</v>
      </c>
      <c r="E51" s="20" t="n">
        <v>25.49</v>
      </c>
      <c r="F51" s="19" t="s">
        <v>187</v>
      </c>
      <c r="G51" s="19" t="n">
        <v>29.99</v>
      </c>
      <c r="H51" s="7" t="n">
        <f>(G51-C51)/C51</f>
        <v>0.0526500526500527</v>
      </c>
      <c r="I51" s="19" t="n">
        <v>29.99</v>
      </c>
      <c r="J51" s="25" t="n">
        <f>I51-G51</f>
        <v>0</v>
      </c>
      <c r="K51" s="6" t="n">
        <f>(I51-C51)/C51</f>
        <v>0.0526500526500527</v>
      </c>
      <c r="L51" s="4" t="n">
        <f>I51-G51</f>
        <v>0</v>
      </c>
    </row>
    <row r="52" ht="16.5" customHeight="1">
      <c r="A52" s="19" t="s">
        <v>55</v>
      </c>
      <c r="B52" s="20" t="s">
        <v>189</v>
      </c>
      <c r="C52" s="20" t="n">
        <v>29.49</v>
      </c>
      <c r="D52" s="20" t="n">
        <v>21.59</v>
      </c>
      <c r="E52" s="20" t="n">
        <v>21.59</v>
      </c>
      <c r="F52" s="19" t="s">
        <v>189</v>
      </c>
      <c r="G52" s="19" t="n">
        <v>30.99</v>
      </c>
      <c r="H52" s="7" t="n">
        <f>(G52-C52)/C52</f>
        <v>0.0508646998982706</v>
      </c>
      <c r="I52" s="19" t="n">
        <v>30.99</v>
      </c>
      <c r="J52" s="25" t="n">
        <f>I52-G52</f>
        <v>0</v>
      </c>
      <c r="K52" s="6" t="n">
        <f>(I52-C52)/C52</f>
        <v>0.0508646998982706</v>
      </c>
      <c r="L52" s="4" t="n">
        <f>I52-G52</f>
        <v>0</v>
      </c>
    </row>
    <row r="53" ht="16.5" customHeight="1">
      <c r="A53" s="19" t="s">
        <v>56</v>
      </c>
      <c r="B53" s="20" t="s">
        <v>187</v>
      </c>
      <c r="C53" s="20" t="n">
        <v>28.49</v>
      </c>
      <c r="D53" s="20" t="n">
        <v>25.49</v>
      </c>
      <c r="E53" s="20" t="n">
        <v>25.49</v>
      </c>
      <c r="F53" s="19" t="s">
        <v>187</v>
      </c>
      <c r="G53" s="19" t="n">
        <v>29.99</v>
      </c>
      <c r="H53" s="7" t="n">
        <f>(G53-C53)/C53</f>
        <v>0.0526500526500527</v>
      </c>
      <c r="I53" s="19" t="n">
        <v>29.99</v>
      </c>
      <c r="J53" s="25" t="n">
        <f>I53-G53</f>
        <v>0</v>
      </c>
      <c r="K53" s="6" t="n">
        <f>(I53-C53)/C53</f>
        <v>0.0526500526500527</v>
      </c>
      <c r="L53" s="4" t="n">
        <f>I53-G53</f>
        <v>0</v>
      </c>
    </row>
    <row r="54" ht="16.5" customHeight="1">
      <c r="A54" s="19" t="s">
        <v>57</v>
      </c>
      <c r="B54" s="20" t="s">
        <v>187</v>
      </c>
      <c r="C54" s="20" t="n">
        <v>28.49</v>
      </c>
      <c r="D54" s="20" t="n">
        <v>25.49</v>
      </c>
      <c r="E54" s="20" t="n">
        <v>25.49</v>
      </c>
      <c r="F54" s="19" t="s">
        <v>187</v>
      </c>
      <c r="G54" s="19" t="n">
        <v>29.99</v>
      </c>
      <c r="H54" s="7" t="n">
        <f>(G54-C54)/C54</f>
        <v>0.0526500526500527</v>
      </c>
      <c r="I54" s="19" t="n">
        <v>29.99</v>
      </c>
      <c r="J54" s="25" t="n">
        <f>I54-G54</f>
        <v>0</v>
      </c>
      <c r="K54" s="6" t="n">
        <f>(I54-C54)/C54</f>
        <v>0.0526500526500527</v>
      </c>
      <c r="L54" s="4" t="n">
        <f>I54-G54</f>
        <v>0</v>
      </c>
    </row>
    <row r="55" ht="16.5" customHeight="1">
      <c r="A55" s="23" t="s">
        <v>58</v>
      </c>
      <c r="B55" s="24" t="s">
        <v>189</v>
      </c>
      <c r="C55" s="24" t="n">
        <v>30.99</v>
      </c>
      <c r="D55" s="20" t="n">
        <v>20.99</v>
      </c>
      <c r="E55" s="20" t="n">
        <v>20.99</v>
      </c>
      <c r="F55" s="23" t="s">
        <v>189</v>
      </c>
      <c r="G55" s="23" t="n">
        <v>30.99</v>
      </c>
      <c r="H55" s="7" t="n">
        <f>(G55-C55)/C55</f>
        <v>0</v>
      </c>
      <c r="I55" s="19" t="n">
        <v>30.99</v>
      </c>
      <c r="J55" s="25" t="n">
        <f>I55-G55</f>
        <v>0</v>
      </c>
      <c r="K55" s="6" t="n">
        <f>(I55-C55)/C55</f>
        <v>0</v>
      </c>
      <c r="L55" s="4" t="n">
        <f>I55-G55</f>
        <v>0</v>
      </c>
    </row>
    <row r="56" ht="16.5" customHeight="1">
      <c r="A56" s="19" t="s">
        <v>59</v>
      </c>
      <c r="B56" s="20" t="s">
        <v>189</v>
      </c>
      <c r="C56" s="20" t="n">
        <v>29.99</v>
      </c>
      <c r="D56" s="20" t="n">
        <v>21.95</v>
      </c>
      <c r="E56" s="20" t="n">
        <v>21.95</v>
      </c>
      <c r="F56" s="19" t="s">
        <v>189</v>
      </c>
      <c r="G56" s="19" t="n">
        <v>30.99</v>
      </c>
      <c r="H56" s="7" t="n">
        <f>(G56-C56)/C56</f>
        <v>0.0333444481493831</v>
      </c>
      <c r="I56" s="19" t="n">
        <v>30.99</v>
      </c>
      <c r="J56" s="25" t="n">
        <f>I56-G56</f>
        <v>0</v>
      </c>
      <c r="K56" s="6" t="n">
        <f>(I56-C56)/C56</f>
        <v>0.0333444481493831</v>
      </c>
      <c r="L56" s="4" t="n">
        <f>I56-G56</f>
        <v>0</v>
      </c>
    </row>
    <row r="57" ht="16.5" customHeight="1">
      <c r="A57" s="19" t="s">
        <v>60</v>
      </c>
      <c r="B57" s="20" t="s">
        <v>187</v>
      </c>
      <c r="C57" s="20" t="n">
        <v>28.49</v>
      </c>
      <c r="D57" s="20" t="n">
        <v>25.49</v>
      </c>
      <c r="E57" s="20" t="n">
        <v>25.49</v>
      </c>
      <c r="F57" s="19" t="s">
        <v>187</v>
      </c>
      <c r="G57" s="19" t="n">
        <v>29.99</v>
      </c>
      <c r="H57" s="7" t="n">
        <f>(G57-C57)/C57</f>
        <v>0.0526500526500527</v>
      </c>
      <c r="I57" s="19" t="n">
        <v>29.99</v>
      </c>
      <c r="J57" s="25" t="n">
        <f>I57-G57</f>
        <v>0</v>
      </c>
      <c r="K57" s="6" t="n">
        <f>(I57-C57)/C57</f>
        <v>0.0526500526500527</v>
      </c>
      <c r="L57" s="4" t="n">
        <f>I57-G57</f>
        <v>0</v>
      </c>
    </row>
    <row r="58" ht="16.5" customHeight="1">
      <c r="A58" s="19" t="s">
        <v>61</v>
      </c>
      <c r="B58" s="20" t="s">
        <v>187</v>
      </c>
      <c r="C58" s="20" t="n">
        <v>28.49</v>
      </c>
      <c r="D58" s="20" t="n">
        <v>25.49</v>
      </c>
      <c r="E58" s="20" t="n">
        <v>25.49</v>
      </c>
      <c r="F58" s="19" t="s">
        <v>187</v>
      </c>
      <c r="G58" s="19" t="n">
        <v>29.99</v>
      </c>
      <c r="H58" s="7" t="n">
        <f>(G58-C58)/C58</f>
        <v>0.0526500526500527</v>
      </c>
      <c r="I58" s="19" t="n">
        <v>29.99</v>
      </c>
      <c r="J58" s="25" t="n">
        <f>I58-G58</f>
        <v>0</v>
      </c>
      <c r="K58" s="6" t="n">
        <f>(I58-C58)/C58</f>
        <v>0.0526500526500527</v>
      </c>
      <c r="L58" s="4" t="n">
        <f>I58-G58</f>
        <v>0</v>
      </c>
    </row>
    <row r="59" ht="16.5" customHeight="1">
      <c r="A59" s="19" t="s">
        <v>62</v>
      </c>
      <c r="B59" s="20" t="s">
        <v>187</v>
      </c>
      <c r="C59" s="20" t="n">
        <v>33.99</v>
      </c>
      <c r="D59" s="20" t="n">
        <v>25.2</v>
      </c>
      <c r="E59" s="20" t="n">
        <v>25.2</v>
      </c>
      <c r="F59" s="19" t="s">
        <v>187</v>
      </c>
      <c r="G59" s="19" t="n">
        <v>34.99</v>
      </c>
      <c r="H59" s="7" t="n">
        <f>(G59-C59)/C59</f>
        <v>0.0294204177699323</v>
      </c>
      <c r="I59" s="19" t="n">
        <v>34.99</v>
      </c>
      <c r="J59" s="25" t="n">
        <f>I59-G59</f>
        <v>0</v>
      </c>
      <c r="K59" s="6" t="n">
        <f>(I59-C59)/C59</f>
        <v>0.0294204177699323</v>
      </c>
      <c r="L59" s="4" t="n">
        <f>I59-G59</f>
        <v>0</v>
      </c>
    </row>
    <row r="60" ht="16.5" customHeight="1">
      <c r="A60" s="19" t="s">
        <v>63</v>
      </c>
      <c r="B60" s="20" t="s">
        <v>189</v>
      </c>
      <c r="C60" s="20" t="n">
        <v>29.49</v>
      </c>
      <c r="D60" s="20" t="n">
        <v>22.14</v>
      </c>
      <c r="E60" s="20" t="n">
        <v>22.14</v>
      </c>
      <c r="F60" s="19" t="s">
        <v>189</v>
      </c>
      <c r="G60" s="19" t="n">
        <v>30.99</v>
      </c>
      <c r="H60" s="7" t="n">
        <f>(G60-C60)/C60</f>
        <v>0.0508646998982706</v>
      </c>
      <c r="I60" s="19" t="n">
        <v>30.99</v>
      </c>
      <c r="J60" s="25" t="n">
        <f>I60-G60</f>
        <v>0</v>
      </c>
      <c r="K60" s="6" t="n">
        <f>(I60-C60)/C60</f>
        <v>0.0508646998982706</v>
      </c>
      <c r="L60" s="4" t="n">
        <f>I60-G60</f>
        <v>0</v>
      </c>
    </row>
    <row r="61" ht="16.5" customHeight="1">
      <c r="A61" s="19" t="s">
        <v>64</v>
      </c>
      <c r="B61" s="20" t="s">
        <v>187</v>
      </c>
      <c r="C61" s="20" t="n">
        <v>33.99</v>
      </c>
      <c r="D61" s="20" t="n">
        <v>24.4</v>
      </c>
      <c r="E61" s="20" t="n">
        <v>24.4</v>
      </c>
      <c r="F61" s="19" t="s">
        <v>187</v>
      </c>
      <c r="G61" s="19" t="n">
        <v>34.99</v>
      </c>
      <c r="H61" s="7" t="n">
        <f>(G61-C61)/C61</f>
        <v>0.0294204177699323</v>
      </c>
      <c r="I61" s="19" t="n">
        <v>34.99</v>
      </c>
      <c r="J61" s="25" t="n">
        <f>I61-G61</f>
        <v>0</v>
      </c>
      <c r="K61" s="6" t="n">
        <f>(I61-C61)/C61</f>
        <v>0.0294204177699323</v>
      </c>
      <c r="L61" s="4" t="n">
        <f>I61-G61</f>
        <v>0</v>
      </c>
    </row>
    <row r="62" ht="16.5" customHeight="1">
      <c r="A62" s="19" t="s">
        <v>65</v>
      </c>
      <c r="B62" s="20" t="s">
        <v>189</v>
      </c>
      <c r="C62" s="20" t="n">
        <v>30.99</v>
      </c>
      <c r="D62" s="20" t="n">
        <v>21.24</v>
      </c>
      <c r="E62" s="20" t="n">
        <v>21.24</v>
      </c>
      <c r="F62" s="19" t="s">
        <v>189</v>
      </c>
      <c r="G62" s="19" t="n">
        <v>30.99</v>
      </c>
      <c r="H62" s="7" t="n">
        <f>(G62-C62)/C62</f>
        <v>0</v>
      </c>
      <c r="I62" s="19" t="n">
        <v>30.99</v>
      </c>
      <c r="J62" s="25" t="n">
        <f>I62-G62</f>
        <v>0</v>
      </c>
      <c r="K62" s="6" t="n">
        <f>(I62-C62)/C62</f>
        <v>0</v>
      </c>
      <c r="L62" s="4" t="n">
        <f>I62-G62</f>
        <v>0</v>
      </c>
    </row>
    <row r="63" ht="16.5" customHeight="1">
      <c r="A63" s="19" t="s">
        <v>66</v>
      </c>
      <c r="B63" s="20" t="s">
        <v>187</v>
      </c>
      <c r="C63" s="20" t="n">
        <v>28.49</v>
      </c>
      <c r="D63" s="20" t="n">
        <v>25.49</v>
      </c>
      <c r="E63" s="20" t="n">
        <v>25.49</v>
      </c>
      <c r="F63" s="19" t="s">
        <v>187</v>
      </c>
      <c r="G63" s="19" t="n">
        <v>29.99</v>
      </c>
      <c r="H63" s="7" t="n">
        <f>(G63-C63)/C63</f>
        <v>0.0526500526500527</v>
      </c>
      <c r="I63" s="19" t="n">
        <v>29.99</v>
      </c>
      <c r="J63" s="25" t="n">
        <f>I63-G63</f>
        <v>0</v>
      </c>
      <c r="K63" s="6" t="n">
        <f>(I63-C63)/C63</f>
        <v>0.0526500526500527</v>
      </c>
      <c r="L63" s="4" t="n">
        <f>I63-G63</f>
        <v>0</v>
      </c>
    </row>
    <row r="64" ht="16.5" customHeight="1">
      <c r="A64" s="19" t="s">
        <v>67</v>
      </c>
      <c r="B64" s="20" t="s">
        <v>187</v>
      </c>
      <c r="C64" s="20" t="n">
        <v>28.49</v>
      </c>
      <c r="D64" s="20" t="n">
        <v>25.49</v>
      </c>
      <c r="E64" s="20" t="n">
        <v>25.49</v>
      </c>
      <c r="F64" s="19" t="s">
        <v>187</v>
      </c>
      <c r="G64" s="19" t="n">
        <v>29.99</v>
      </c>
      <c r="H64" s="7" t="n">
        <f>(G64-C64)/C64</f>
        <v>0.0526500526500527</v>
      </c>
      <c r="I64" s="19" t="n">
        <v>29.99</v>
      </c>
      <c r="J64" s="25" t="n">
        <f>I64-G64</f>
        <v>0</v>
      </c>
      <c r="K64" s="6" t="n">
        <f>(I64-C64)/C64</f>
        <v>0.0526500526500527</v>
      </c>
      <c r="L64" s="4" t="n">
        <f>I64-G64</f>
        <v>0</v>
      </c>
    </row>
    <row r="65" ht="16.5" customHeight="1">
      <c r="A65" s="19" t="s">
        <v>68</v>
      </c>
      <c r="B65" s="20" t="s">
        <v>187</v>
      </c>
      <c r="C65" s="20" t="n">
        <v>28.49</v>
      </c>
      <c r="D65" s="20" t="n">
        <v>25.49</v>
      </c>
      <c r="E65" s="20" t="n">
        <v>25.49</v>
      </c>
      <c r="F65" s="19" t="s">
        <v>187</v>
      </c>
      <c r="G65" s="19" t="n">
        <v>29.99</v>
      </c>
      <c r="H65" s="7" t="n">
        <f>(G65-C65)/C65</f>
        <v>0.0526500526500527</v>
      </c>
      <c r="I65" s="19" t="n">
        <v>29.99</v>
      </c>
      <c r="J65" s="25" t="n">
        <f>I65-G65</f>
        <v>0</v>
      </c>
      <c r="K65" s="6" t="n">
        <f>(I65-C65)/C65</f>
        <v>0.0526500526500527</v>
      </c>
      <c r="L65" s="4" t="n">
        <f>I65-G65</f>
        <v>0</v>
      </c>
    </row>
    <row r="66" ht="16.5" customHeight="1">
      <c r="A66" s="19" t="s">
        <v>69</v>
      </c>
      <c r="B66" s="20" t="s">
        <v>187</v>
      </c>
      <c r="C66" s="20" t="n">
        <v>28.49</v>
      </c>
      <c r="D66" s="20" t="n">
        <v>25.49</v>
      </c>
      <c r="E66" s="20" t="n">
        <v>25.49</v>
      </c>
      <c r="F66" s="19" t="s">
        <v>187</v>
      </c>
      <c r="G66" s="19" t="n">
        <v>29.99</v>
      </c>
      <c r="H66" s="7" t="n">
        <f>(G66-C66)/C66</f>
        <v>0.0526500526500527</v>
      </c>
      <c r="I66" s="19" t="n">
        <v>29.99</v>
      </c>
      <c r="J66" s="25" t="n">
        <f>I66-G66</f>
        <v>0</v>
      </c>
      <c r="K66" s="6" t="n">
        <f>(I66-C66)/C66</f>
        <v>0.0526500526500527</v>
      </c>
      <c r="L66" s="4" t="n">
        <f>I66-G66</f>
        <v>0</v>
      </c>
    </row>
    <row r="67" ht="16.5" customHeight="1">
      <c r="A67" s="19" t="s">
        <v>70</v>
      </c>
      <c r="B67" s="20" t="s">
        <v>187</v>
      </c>
      <c r="C67" s="20" t="n">
        <v>28.49</v>
      </c>
      <c r="D67" s="20" t="n">
        <v>25.49</v>
      </c>
      <c r="E67" s="20" t="n">
        <v>25.49</v>
      </c>
      <c r="F67" s="19" t="s">
        <v>187</v>
      </c>
      <c r="G67" s="19" t="n">
        <v>29.99</v>
      </c>
      <c r="H67" s="7" t="n">
        <f>(G67-C67)/C67</f>
        <v>0.0526500526500527</v>
      </c>
      <c r="I67" s="19" t="n">
        <v>29.99</v>
      </c>
      <c r="J67" s="25" t="n">
        <f>I67-G67</f>
        <v>0</v>
      </c>
      <c r="K67" s="6" t="n">
        <f>(I67-C67)/C67</f>
        <v>0.0526500526500527</v>
      </c>
      <c r="L67" s="4" t="n">
        <f>I67-G67</f>
        <v>0</v>
      </c>
    </row>
    <row r="68" ht="16.5" customHeight="1">
      <c r="A68" s="19" t="s">
        <v>71</v>
      </c>
      <c r="B68" s="20" t="s">
        <v>199</v>
      </c>
      <c r="C68" s="20" t="n">
        <v>223</v>
      </c>
      <c r="D68" s="20" t="n">
        <v>193.8</v>
      </c>
      <c r="E68" s="20" t="n">
        <v>193.8</v>
      </c>
      <c r="F68" s="19" t="s">
        <v>199</v>
      </c>
      <c r="G68" s="19" t="n">
        <v>228</v>
      </c>
      <c r="H68" s="7" t="n">
        <f>(G68-C68)/C68</f>
        <v>0.0224215246636771</v>
      </c>
      <c r="I68" s="19" t="n">
        <v>228</v>
      </c>
      <c r="J68" s="25" t="n">
        <f>I68-G68</f>
        <v>0</v>
      </c>
      <c r="K68" s="6" t="n">
        <f>(I68-C68)/C68</f>
        <v>0.0224215246636771</v>
      </c>
      <c r="L68" s="4" t="n">
        <f>I68-G68</f>
        <v>0</v>
      </c>
    </row>
    <row r="69" ht="16.5" customHeight="1">
      <c r="A69" s="19" t="s">
        <v>72</v>
      </c>
      <c r="B69" s="20" t="s">
        <v>200</v>
      </c>
      <c r="C69" s="20" t="n">
        <v>11490</v>
      </c>
      <c r="D69" s="20" t="n">
        <v>8694</v>
      </c>
      <c r="E69" s="20" t="n">
        <v>8694</v>
      </c>
      <c r="F69" s="19" t="s">
        <v>200</v>
      </c>
      <c r="G69" s="19" t="n">
        <v>12990</v>
      </c>
      <c r="H69" s="7" t="n">
        <f>(G69-C69)/C69</f>
        <v>0.130548302872063</v>
      </c>
      <c r="I69" s="19" t="n">
        <v>12990</v>
      </c>
      <c r="J69" s="25" t="n">
        <f>I69-G69</f>
        <v>0</v>
      </c>
      <c r="K69" s="6" t="n">
        <f>(I69-C69)/C69</f>
        <v>0.130548302872063</v>
      </c>
      <c r="L69" s="4" t="n">
        <f>I69-G69</f>
        <v>0</v>
      </c>
    </row>
    <row r="70" ht="16.5" customHeight="1">
      <c r="A70" s="19" t="s">
        <v>73</v>
      </c>
      <c r="B70" s="20" t="s">
        <v>187</v>
      </c>
      <c r="C70" s="20" t="n">
        <v>35.33</v>
      </c>
      <c r="D70" s="20" t="n">
        <v>23.99</v>
      </c>
      <c r="E70" s="20" t="n">
        <v>23.99</v>
      </c>
      <c r="F70" s="19" t="s">
        <v>187</v>
      </c>
      <c r="G70" s="19" t="n">
        <v>34.99</v>
      </c>
      <c r="H70" s="7" t="n">
        <f>(G70-C70)/C70</f>
        <v>-0.00962354939145191</v>
      </c>
      <c r="I70" s="19" t="n">
        <v>35.49</v>
      </c>
      <c r="J70" s="25" t="n">
        <f>I70-G70</f>
        <v>0.5</v>
      </c>
      <c r="K70" s="6" t="n">
        <f>(I70-C70)/C70</f>
        <v>0.0045287291253893</v>
      </c>
      <c r="L70" s="4" t="n">
        <f>I70-G70</f>
        <v>0.5</v>
      </c>
    </row>
    <row r="71" ht="16.5" customHeight="1">
      <c r="A71" s="19" t="s">
        <v>74</v>
      </c>
      <c r="B71" s="20" t="s">
        <v>201</v>
      </c>
      <c r="C71" s="20" t="n">
        <v>2599</v>
      </c>
      <c r="D71" s="20" t="n">
        <v>2160.3</v>
      </c>
      <c r="E71" s="20" t="n">
        <v>2160.3</v>
      </c>
      <c r="F71" s="19" t="s">
        <v>201</v>
      </c>
      <c r="G71" s="19" t="n">
        <v>2999</v>
      </c>
      <c r="H71" s="7" t="n">
        <f>(G71-C71)/C71</f>
        <v>0.15390534821085</v>
      </c>
      <c r="I71" s="19" t="n">
        <v>2999</v>
      </c>
      <c r="J71" s="25" t="n">
        <f>I71-G71</f>
        <v>0</v>
      </c>
      <c r="K71" s="6" t="n">
        <f>(I71-C71)/C71</f>
        <v>0.15390534821085</v>
      </c>
      <c r="L71" s="4" t="n">
        <f>I71-G71</f>
        <v>0</v>
      </c>
    </row>
    <row r="72" ht="16.5" customHeight="1">
      <c r="A72" s="19" t="s">
        <v>75</v>
      </c>
      <c r="B72" s="20" t="s">
        <v>202</v>
      </c>
      <c r="C72" s="20" t="n">
        <v>449000</v>
      </c>
      <c r="D72" s="20" t="n">
        <v>382117</v>
      </c>
      <c r="E72" s="20" t="n">
        <v>382117</v>
      </c>
      <c r="F72" s="19" t="s">
        <v>202</v>
      </c>
      <c r="G72" s="19" t="n">
        <v>499000</v>
      </c>
      <c r="H72" s="7" t="n">
        <f>(G72-C72)/C72</f>
        <v>0.111358574610245</v>
      </c>
      <c r="I72" s="19" t="n">
        <v>499000</v>
      </c>
      <c r="J72" s="25" t="n">
        <f>I72-G72</f>
        <v>0</v>
      </c>
      <c r="K72" s="6" t="n">
        <f>(I72-C72)/C72</f>
        <v>0.111358574610245</v>
      </c>
      <c r="L72" s="4" t="n">
        <f>I72-G72</f>
        <v>0</v>
      </c>
    </row>
    <row r="73" ht="16.5" customHeight="1">
      <c r="A73" s="19" t="s">
        <v>76</v>
      </c>
      <c r="B73" s="20" t="s">
        <v>187</v>
      </c>
      <c r="C73" s="20" t="n">
        <v>28.49</v>
      </c>
      <c r="D73" s="20" t="n">
        <v>25.49</v>
      </c>
      <c r="E73" s="20" t="n">
        <v>25.49</v>
      </c>
      <c r="F73" s="19" t="s">
        <v>187</v>
      </c>
      <c r="G73" s="19" t="n">
        <v>29.99</v>
      </c>
      <c r="H73" s="7" t="n">
        <f>(G73-C73)/C73</f>
        <v>0.0526500526500527</v>
      </c>
      <c r="I73" s="19" t="n">
        <v>29.99</v>
      </c>
      <c r="J73" s="25" t="n">
        <f>I73-G73</f>
        <v>0</v>
      </c>
      <c r="K73" s="6" t="n">
        <f>(I73-C73)/C73</f>
        <v>0.0526500526500527</v>
      </c>
      <c r="L73" s="4" t="n">
        <f>I73-G73</f>
        <v>0</v>
      </c>
    </row>
    <row r="74" ht="16.5" customHeight="1">
      <c r="A74" s="19" t="s">
        <v>77</v>
      </c>
      <c r="B74" s="20" t="s">
        <v>189</v>
      </c>
      <c r="C74" s="20" t="n">
        <v>29.99</v>
      </c>
      <c r="D74" s="20" t="n">
        <v>21.42</v>
      </c>
      <c r="E74" s="20" t="n">
        <v>21.42</v>
      </c>
      <c r="F74" s="19" t="s">
        <v>189</v>
      </c>
      <c r="G74" s="19" t="n">
        <v>30.99</v>
      </c>
      <c r="H74" s="7" t="n">
        <f>(G74-C74)/C74</f>
        <v>0.0333444481493831</v>
      </c>
      <c r="I74" s="19" t="n">
        <v>30.99</v>
      </c>
      <c r="J74" s="25" t="n">
        <f>I74-G74</f>
        <v>0</v>
      </c>
      <c r="K74" s="6" t="n">
        <f>(I74-C74)/C74</f>
        <v>0.0333444481493831</v>
      </c>
      <c r="L74" s="4" t="n">
        <f>I74-G74</f>
        <v>0</v>
      </c>
    </row>
    <row r="75" ht="16.5" customHeight="1">
      <c r="A75" s="19" t="s">
        <v>78</v>
      </c>
      <c r="B75" s="20" t="s">
        <v>203</v>
      </c>
      <c r="C75" s="20" t="n">
        <v>91.9</v>
      </c>
      <c r="D75" s="20" t="n">
        <v>84.92</v>
      </c>
      <c r="E75" s="20" t="n">
        <v>84.92</v>
      </c>
      <c r="F75" s="19" t="s">
        <v>203</v>
      </c>
      <c r="G75" s="19" t="n">
        <v>99.9</v>
      </c>
      <c r="H75" s="7" t="n">
        <f>(G75-C75)/C75</f>
        <v>0.0870511425462459</v>
      </c>
      <c r="I75" s="19" t="n">
        <v>99.9</v>
      </c>
      <c r="J75" s="25" t="n">
        <f>I75-G75</f>
        <v>0</v>
      </c>
      <c r="K75" s="6" t="n">
        <f>(I75-C75)/C75</f>
        <v>0.0870511425462459</v>
      </c>
      <c r="L75" s="4" t="n">
        <f>I75-G75</f>
        <v>0</v>
      </c>
    </row>
    <row r="76" ht="16.5" customHeight="1">
      <c r="A76" s="19" t="s">
        <v>79</v>
      </c>
      <c r="B76" s="20" t="s">
        <v>189</v>
      </c>
      <c r="C76" s="20" t="n">
        <v>29.99</v>
      </c>
      <c r="D76" s="20" t="n">
        <v>21.5</v>
      </c>
      <c r="E76" s="20" t="n">
        <v>21.5</v>
      </c>
      <c r="F76" s="19" t="s">
        <v>189</v>
      </c>
      <c r="G76" s="19" t="n">
        <v>30.99</v>
      </c>
      <c r="H76" s="7" t="n">
        <f>(G76-C76)/C76</f>
        <v>0.0333444481493831</v>
      </c>
      <c r="I76" s="19" t="n">
        <v>30.99</v>
      </c>
      <c r="J76" s="25" t="n">
        <f>I76-G76</f>
        <v>0</v>
      </c>
      <c r="K76" s="6" t="n">
        <f>(I76-C76)/C76</f>
        <v>0.0333444481493831</v>
      </c>
      <c r="L76" s="4" t="n">
        <f>I76-G76</f>
        <v>0</v>
      </c>
    </row>
    <row r="77" ht="16.5" customHeight="1">
      <c r="A77" s="19" t="s">
        <v>80</v>
      </c>
      <c r="B77" s="20" t="s">
        <v>187</v>
      </c>
      <c r="C77" s="20" t="n">
        <v>28.49</v>
      </c>
      <c r="D77" s="20" t="n">
        <v>25.49</v>
      </c>
      <c r="E77" s="20" t="n">
        <v>25.49</v>
      </c>
      <c r="F77" s="19" t="s">
        <v>187</v>
      </c>
      <c r="G77" s="19" t="n">
        <v>29.99</v>
      </c>
      <c r="H77" s="7" t="n">
        <f>(G77-C77)/C77</f>
        <v>0.0526500526500527</v>
      </c>
      <c r="I77" s="19" t="n">
        <v>29.99</v>
      </c>
      <c r="J77" s="25" t="n">
        <f>I77-G77</f>
        <v>0</v>
      </c>
      <c r="K77" s="6" t="n">
        <f>(I77-C77)/C77</f>
        <v>0.0526500526500527</v>
      </c>
      <c r="L77" s="4" t="n">
        <f>I77-G77</f>
        <v>0</v>
      </c>
    </row>
    <row r="78" ht="16.5" customHeight="1">
      <c r="A78" s="19" t="s">
        <v>81</v>
      </c>
      <c r="B78" s="20" t="s">
        <v>204</v>
      </c>
      <c r="C78" s="20" t="n">
        <v>3300</v>
      </c>
      <c r="D78" s="20" t="n">
        <v>3864</v>
      </c>
      <c r="E78" s="20" t="n">
        <v>3864</v>
      </c>
      <c r="F78" s="19" t="s">
        <v>204</v>
      </c>
      <c r="G78" s="19" t="n">
        <v>5000</v>
      </c>
      <c r="H78" s="7" t="n">
        <f>(G78-C78)/C78</f>
        <v>0.515151515151515</v>
      </c>
      <c r="I78" s="19" t="n">
        <v>5000</v>
      </c>
      <c r="J78" s="25" t="n">
        <f>I78-G78</f>
        <v>0</v>
      </c>
      <c r="K78" s="6" t="n">
        <f>(I78-C78)/C78</f>
        <v>0.515151515151515</v>
      </c>
      <c r="L78" s="4" t="n">
        <f>I78-G78</f>
        <v>0</v>
      </c>
    </row>
    <row r="79" ht="16.5" customHeight="1">
      <c r="A79" s="19" t="s">
        <v>82</v>
      </c>
      <c r="B79" s="20" t="s">
        <v>187</v>
      </c>
      <c r="C79" s="20" t="n">
        <v>28.49</v>
      </c>
      <c r="D79" s="20" t="n">
        <v>25.49</v>
      </c>
      <c r="E79" s="20" t="n">
        <v>25.49</v>
      </c>
      <c r="F79" s="19" t="s">
        <v>187</v>
      </c>
      <c r="G79" s="19" t="n">
        <v>29.99</v>
      </c>
      <c r="H79" s="7" t="n">
        <f>(G79-C79)/C79</f>
        <v>0.0526500526500527</v>
      </c>
      <c r="I79" s="19" t="n">
        <v>29.99</v>
      </c>
      <c r="J79" s="25" t="n">
        <f>I79-G79</f>
        <v>0</v>
      </c>
      <c r="K79" s="6" t="n">
        <f>(I79-C79)/C79</f>
        <v>0.0526500526500527</v>
      </c>
      <c r="L79" s="4" t="n">
        <f>I79-G79</f>
        <v>0</v>
      </c>
    </row>
    <row r="80" ht="16.5" customHeight="1">
      <c r="A80" s="19" t="s">
        <v>83</v>
      </c>
      <c r="B80" s="20" t="s">
        <v>205</v>
      </c>
      <c r="C80" s="20" t="n">
        <v>13790</v>
      </c>
      <c r="D80" s="20" t="n">
        <v>13653.13</v>
      </c>
      <c r="E80" s="20" t="n">
        <v>13653.13</v>
      </c>
      <c r="F80" s="19" t="s">
        <v>205</v>
      </c>
      <c r="G80" s="19" t="n">
        <v>17990</v>
      </c>
      <c r="H80" s="7" t="n">
        <f>(G80-C80)/C80</f>
        <v>0.304568527918782</v>
      </c>
      <c r="I80" s="19" t="n">
        <v>17990</v>
      </c>
      <c r="J80" s="25" t="n">
        <f>I80-G80</f>
        <v>0</v>
      </c>
      <c r="K80" s="6" t="n">
        <f>(I80-C80)/C80</f>
        <v>0.304568527918782</v>
      </c>
      <c r="L80" s="4" t="n">
        <f>I80-G80</f>
        <v>0</v>
      </c>
    </row>
    <row r="81" ht="16.5" customHeight="1">
      <c r="A81" s="19" t="s">
        <v>84</v>
      </c>
      <c r="B81" s="20" t="s">
        <v>187</v>
      </c>
      <c r="C81" s="20" t="n">
        <v>32.99</v>
      </c>
      <c r="D81" s="20" t="n">
        <v>25.58</v>
      </c>
      <c r="E81" s="20" t="n">
        <v>25.58</v>
      </c>
      <c r="F81" s="19" t="s">
        <v>187</v>
      </c>
      <c r="G81" s="19" t="n">
        <v>34.99</v>
      </c>
      <c r="H81" s="7" t="n">
        <f>(G81-C81)/C81</f>
        <v>0.0606244316459533</v>
      </c>
      <c r="I81" s="19" t="n">
        <v>34.99</v>
      </c>
      <c r="J81" s="25" t="n">
        <f>I81-G81</f>
        <v>0</v>
      </c>
      <c r="K81" s="6" t="n">
        <f>(I81-C81)/C81</f>
        <v>0.0606244316459533</v>
      </c>
      <c r="L81" s="4" t="n">
        <f>I81-G81</f>
        <v>0</v>
      </c>
    </row>
    <row r="82" ht="16.5" customHeight="1">
      <c r="A82" s="19" t="s">
        <v>85</v>
      </c>
      <c r="B82" s="20" t="s">
        <v>206</v>
      </c>
      <c r="C82" s="20" t="n">
        <v>37000</v>
      </c>
      <c r="D82" s="20" t="n">
        <v>34000</v>
      </c>
      <c r="E82" s="20" t="n">
        <v>34000</v>
      </c>
      <c r="F82" s="19" t="s">
        <v>206</v>
      </c>
      <c r="G82" s="19" t="n">
        <v>44000</v>
      </c>
      <c r="H82" s="7" t="n">
        <f>(G82-C82)/C82</f>
        <v>0.189189189189189</v>
      </c>
      <c r="I82" s="19" t="n">
        <v>44000</v>
      </c>
      <c r="J82" s="25" t="n">
        <f>I82-G82</f>
        <v>0</v>
      </c>
      <c r="K82" s="6" t="n">
        <f>(I82-C82)/C82</f>
        <v>0.189189189189189</v>
      </c>
      <c r="L82" s="4" t="n">
        <f>I82-G82</f>
        <v>0</v>
      </c>
    </row>
    <row r="83" ht="16.5" customHeight="1">
      <c r="A83" s="19" t="s">
        <v>86</v>
      </c>
      <c r="B83" s="20" t="s">
        <v>189</v>
      </c>
      <c r="C83" s="20" t="n">
        <v>28.99</v>
      </c>
      <c r="D83" s="20" t="n">
        <v>22.32</v>
      </c>
      <c r="E83" s="20" t="n">
        <v>22.32</v>
      </c>
      <c r="F83" s="19" t="s">
        <v>189</v>
      </c>
      <c r="G83" s="19" t="n">
        <v>30.99</v>
      </c>
      <c r="H83" s="7" t="n">
        <f>(G83-C83)/C83</f>
        <v>0.0689893066574681</v>
      </c>
      <c r="I83" s="19" t="n">
        <v>30.99</v>
      </c>
      <c r="J83" s="25" t="n">
        <f>I83-G83</f>
        <v>0</v>
      </c>
      <c r="K83" s="6" t="n">
        <f>(I83-C83)/C83</f>
        <v>0.0689893066574681</v>
      </c>
      <c r="L83" s="4" t="n">
        <f>I83-G83</f>
        <v>0</v>
      </c>
    </row>
    <row r="84" ht="16.5" customHeight="1">
      <c r="A84" s="19" t="s">
        <v>87</v>
      </c>
      <c r="B84" s="20" t="s">
        <v>187</v>
      </c>
      <c r="C84" s="20" t="n">
        <v>28.49</v>
      </c>
      <c r="D84" s="20" t="n">
        <v>25.49</v>
      </c>
      <c r="E84" s="20" t="n">
        <v>25.49</v>
      </c>
      <c r="F84" s="19" t="s">
        <v>187</v>
      </c>
      <c r="G84" s="19" t="n">
        <v>29.99</v>
      </c>
      <c r="H84" s="7" t="n">
        <f>(G84-C84)/C84</f>
        <v>0.0526500526500527</v>
      </c>
      <c r="I84" s="19" t="n">
        <v>29.99</v>
      </c>
      <c r="J84" s="25" t="n">
        <f>I84-G84</f>
        <v>0</v>
      </c>
      <c r="K84" s="6" t="n">
        <f>(I84-C84)/C84</f>
        <v>0.0526500526500527</v>
      </c>
      <c r="L84" s="4" t="n">
        <f>I84-G84</f>
        <v>0</v>
      </c>
    </row>
    <row r="85" ht="16.5" customHeight="1">
      <c r="A85" s="19" t="s">
        <v>88</v>
      </c>
      <c r="B85" s="20" t="s">
        <v>187</v>
      </c>
      <c r="C85" s="20" t="n">
        <v>31.99</v>
      </c>
      <c r="D85" s="20" t="n">
        <v>22.76</v>
      </c>
      <c r="E85" s="20" t="n">
        <v>22.76</v>
      </c>
      <c r="F85" s="19" t="s">
        <v>187</v>
      </c>
      <c r="G85" s="19" t="n">
        <v>29.99</v>
      </c>
      <c r="H85" s="7" t="n">
        <f>(G85-C85)/C85</f>
        <v>-0.0625195373554236</v>
      </c>
      <c r="I85" s="19" t="n">
        <v>29.99</v>
      </c>
      <c r="J85" s="25" t="n">
        <f>I85-G85</f>
        <v>0</v>
      </c>
      <c r="K85" s="6" t="n">
        <f>(I85-C85)/C85</f>
        <v>-0.0625195373554236</v>
      </c>
      <c r="L85" s="4" t="n">
        <f>I85-G85</f>
        <v>0</v>
      </c>
    </row>
    <row r="86" ht="16.5" customHeight="1">
      <c r="A86" s="19" t="s">
        <v>89</v>
      </c>
      <c r="B86" s="20" t="s">
        <v>187</v>
      </c>
      <c r="C86" s="20" t="n">
        <v>28.49</v>
      </c>
      <c r="D86" s="20" t="n">
        <v>23.17</v>
      </c>
      <c r="E86" s="20" t="n">
        <v>23.17</v>
      </c>
      <c r="F86" s="19" t="s">
        <v>187</v>
      </c>
      <c r="G86" s="19" t="n">
        <v>29.99</v>
      </c>
      <c r="H86" s="7" t="n">
        <f>(G86-C86)/C86</f>
        <v>0.0526500526500527</v>
      </c>
      <c r="I86" s="19" t="n">
        <v>29.99</v>
      </c>
      <c r="J86" s="25" t="n">
        <f>I86-G86</f>
        <v>0</v>
      </c>
      <c r="K86" s="6" t="n">
        <f>(I86-C86)/C86</f>
        <v>0.0526500526500527</v>
      </c>
      <c r="L86" s="4" t="n">
        <f>I86-G86</f>
        <v>0</v>
      </c>
    </row>
    <row r="87" ht="16.5" customHeight="1">
      <c r="A87" s="19" t="s">
        <v>90</v>
      </c>
      <c r="B87" s="20" t="s">
        <v>189</v>
      </c>
      <c r="C87" s="20" t="n">
        <v>29.99</v>
      </c>
      <c r="D87" s="20" t="n">
        <v>21.77</v>
      </c>
      <c r="E87" s="20" t="n">
        <v>21.77</v>
      </c>
      <c r="F87" s="19" t="s">
        <v>189</v>
      </c>
      <c r="G87" s="19" t="n">
        <v>30.99</v>
      </c>
      <c r="H87" s="7" t="n">
        <f>(G87-C87)/C87</f>
        <v>0.0333444481493831</v>
      </c>
      <c r="I87" s="19" t="n">
        <v>30.99</v>
      </c>
      <c r="J87" s="25" t="n">
        <f>I87-G87</f>
        <v>0</v>
      </c>
      <c r="K87" s="6" t="n">
        <f>(I87-C87)/C87</f>
        <v>0.0333444481493831</v>
      </c>
      <c r="L87" s="4" t="n">
        <f>I87-G87</f>
        <v>0</v>
      </c>
    </row>
    <row r="88" ht="16.5" customHeight="1">
      <c r="A88" s="19" t="s">
        <v>91</v>
      </c>
      <c r="B88" s="20" t="s">
        <v>187</v>
      </c>
      <c r="C88" s="20" t="n">
        <v>28.49</v>
      </c>
      <c r="D88" s="20" t="n">
        <v>25.49</v>
      </c>
      <c r="E88" s="20" t="n">
        <v>25.49</v>
      </c>
      <c r="F88" s="19" t="s">
        <v>187</v>
      </c>
      <c r="G88" s="19" t="n">
        <v>29.99</v>
      </c>
      <c r="H88" s="7" t="n">
        <f>(G88-C88)/C88</f>
        <v>0.0526500526500527</v>
      </c>
      <c r="I88" s="19" t="n">
        <v>29.99</v>
      </c>
      <c r="J88" s="25" t="n">
        <f>I88-G88</f>
        <v>0</v>
      </c>
      <c r="K88" s="6" t="n">
        <f>(I88-C88)/C88</f>
        <v>0.0526500526500527</v>
      </c>
      <c r="L88" s="4" t="n">
        <f>I88-G88</f>
        <v>0</v>
      </c>
    </row>
    <row r="89" ht="16.5" customHeight="1">
      <c r="A89" s="19" t="s">
        <v>92</v>
      </c>
      <c r="B89" s="20" t="s">
        <v>187</v>
      </c>
      <c r="C89" s="20" t="n">
        <v>28.49</v>
      </c>
      <c r="D89" s="20" t="n">
        <v>25.49</v>
      </c>
      <c r="E89" s="20" t="n">
        <v>25.49</v>
      </c>
      <c r="F89" s="19" t="s">
        <v>187</v>
      </c>
      <c r="G89" s="19" t="n">
        <v>29.99</v>
      </c>
      <c r="H89" s="7" t="n">
        <f>(G89-C89)/C89</f>
        <v>0.0526500526500527</v>
      </c>
      <c r="I89" s="19" t="n">
        <v>29.99</v>
      </c>
      <c r="J89" s="25" t="n">
        <f>I89-G89</f>
        <v>0</v>
      </c>
      <c r="K89" s="6" t="n">
        <f>(I89-C89)/C89</f>
        <v>0.0526500526500527</v>
      </c>
      <c r="L89" s="4" t="n">
        <f>I89-G89</f>
        <v>0</v>
      </c>
    </row>
    <row r="90" ht="16.5" customHeight="1">
      <c r="A90" s="19" t="s">
        <v>93</v>
      </c>
      <c r="B90" s="20" t="s">
        <v>187</v>
      </c>
      <c r="C90" s="20" t="n">
        <v>28.49</v>
      </c>
      <c r="D90" s="20" t="n">
        <v>25.49</v>
      </c>
      <c r="E90" s="20" t="n">
        <v>25.49</v>
      </c>
      <c r="F90" s="19" t="s">
        <v>187</v>
      </c>
      <c r="G90" s="19" t="n">
        <v>29.99</v>
      </c>
      <c r="H90" s="7" t="n">
        <f>(G90-C90)/C90</f>
        <v>0.0526500526500527</v>
      </c>
      <c r="I90" s="19" t="n">
        <v>29.99</v>
      </c>
      <c r="J90" s="25" t="n">
        <f>I90-G90</f>
        <v>0</v>
      </c>
      <c r="K90" s="6" t="n">
        <f>(I90-C90)/C90</f>
        <v>0.0526500526500527</v>
      </c>
      <c r="L90" s="4" t="n">
        <f>I90-G90</f>
        <v>0</v>
      </c>
    </row>
    <row r="91" ht="16.5" customHeight="1">
      <c r="A91" s="19" t="s">
        <v>94</v>
      </c>
      <c r="B91" s="20" t="s">
        <v>189</v>
      </c>
      <c r="C91" s="20" t="n">
        <v>29.99</v>
      </c>
      <c r="D91" s="20" t="n">
        <v>21.77</v>
      </c>
      <c r="E91" s="20" t="n">
        <v>21.77</v>
      </c>
      <c r="F91" s="19" t="s">
        <v>189</v>
      </c>
      <c r="G91" s="19" t="n">
        <v>30.99</v>
      </c>
      <c r="H91" s="7" t="n">
        <f>(G91-C91)/C91</f>
        <v>0.0333444481493831</v>
      </c>
      <c r="I91" s="19" t="n">
        <v>30.99</v>
      </c>
      <c r="J91" s="25" t="n">
        <f>I91-G91</f>
        <v>0</v>
      </c>
      <c r="K91" s="6" t="n">
        <f>(I91-C91)/C91</f>
        <v>0.0333444481493831</v>
      </c>
      <c r="L91" s="4" t="n">
        <f>I91-G91</f>
        <v>0</v>
      </c>
    </row>
    <row r="92" ht="16.5" customHeight="1">
      <c r="A92" s="19" t="s">
        <v>95</v>
      </c>
      <c r="B92" s="20" t="s">
        <v>189</v>
      </c>
      <c r="C92" s="20" t="n">
        <v>28.99</v>
      </c>
      <c r="D92" s="20" t="n">
        <v>22.51</v>
      </c>
      <c r="E92" s="20" t="n">
        <v>22.51</v>
      </c>
      <c r="F92" s="19" t="s">
        <v>189</v>
      </c>
      <c r="G92" s="19" t="n">
        <v>30.99</v>
      </c>
      <c r="H92" s="7" t="n">
        <f>(G92-C92)/C92</f>
        <v>0.0689893066574681</v>
      </c>
      <c r="I92" s="19" t="n">
        <v>30.99</v>
      </c>
      <c r="J92" s="25" t="n">
        <f>I92-G92</f>
        <v>0</v>
      </c>
      <c r="K92" s="6" t="n">
        <f>(I92-C92)/C92</f>
        <v>0.0689893066574681</v>
      </c>
      <c r="L92" s="4" t="n">
        <f>I92-G92</f>
        <v>0</v>
      </c>
    </row>
    <row r="93" ht="16.5" customHeight="1">
      <c r="A93" s="19" t="s">
        <v>96</v>
      </c>
      <c r="B93" s="20" t="s">
        <v>187</v>
      </c>
      <c r="C93" s="20" t="n">
        <v>28.49</v>
      </c>
      <c r="D93" s="20" t="n">
        <v>25.49</v>
      </c>
      <c r="E93" s="20" t="n">
        <v>25.49</v>
      </c>
      <c r="F93" s="19" t="s">
        <v>187</v>
      </c>
      <c r="G93" s="19" t="n">
        <v>29.99</v>
      </c>
      <c r="H93" s="7" t="n">
        <f>(G93-C93)/C93</f>
        <v>0.0526500526500527</v>
      </c>
      <c r="I93" s="19" t="n">
        <v>29.99</v>
      </c>
      <c r="J93" s="25" t="n">
        <f>I93-G93</f>
        <v>0</v>
      </c>
      <c r="K93" s="6" t="n">
        <f>(I93-C93)/C93</f>
        <v>0.0526500526500527</v>
      </c>
      <c r="L93" s="4" t="n">
        <f>I93-G93</f>
        <v>0</v>
      </c>
    </row>
    <row r="94" ht="16.5" customHeight="1">
      <c r="A94" s="19" t="s">
        <v>97</v>
      </c>
      <c r="B94" s="20" t="s">
        <v>187</v>
      </c>
      <c r="C94" s="20" t="n">
        <v>28.49</v>
      </c>
      <c r="D94" s="20" t="n">
        <v>25.49</v>
      </c>
      <c r="E94" s="20" t="n">
        <v>25.49</v>
      </c>
      <c r="F94" s="19" t="s">
        <v>187</v>
      </c>
      <c r="G94" s="19" t="n">
        <v>29.99</v>
      </c>
      <c r="H94" s="7" t="n">
        <f>(G94-C94)/C94</f>
        <v>0.0526500526500527</v>
      </c>
      <c r="I94" s="19" t="n">
        <v>29.99</v>
      </c>
      <c r="J94" s="25" t="n">
        <f>I94-G94</f>
        <v>0</v>
      </c>
      <c r="K94" s="6" t="n">
        <f>(I94-C94)/C94</f>
        <v>0.0526500526500527</v>
      </c>
      <c r="L94" s="4" t="n">
        <f>I94-G94</f>
        <v>0</v>
      </c>
    </row>
    <row r="95" ht="16.5" customHeight="1">
      <c r="A95" s="19" t="s">
        <v>98</v>
      </c>
      <c r="B95" s="20" t="s">
        <v>187</v>
      </c>
      <c r="C95" s="20" t="n">
        <v>28.49</v>
      </c>
      <c r="D95" s="20" t="n">
        <v>25.49</v>
      </c>
      <c r="E95" s="20" t="n">
        <v>25.49</v>
      </c>
      <c r="F95" s="19" t="s">
        <v>187</v>
      </c>
      <c r="G95" s="19" t="n">
        <v>29.99</v>
      </c>
      <c r="H95" s="7" t="n">
        <f>(G95-C95)/C95</f>
        <v>0.0526500526500527</v>
      </c>
      <c r="I95" s="19" t="n">
        <v>29.99</v>
      </c>
      <c r="J95" s="25" t="n">
        <f>I95-G95</f>
        <v>0</v>
      </c>
      <c r="K95" s="6" t="n">
        <f>(I95-C95)/C95</f>
        <v>0.0526500526500527</v>
      </c>
      <c r="L95" s="4" t="n">
        <f>I95-G95</f>
        <v>0</v>
      </c>
    </row>
    <row r="96" ht="16.5" customHeight="1">
      <c r="A96" s="19" t="s">
        <v>99</v>
      </c>
      <c r="B96" s="20" t="s">
        <v>207</v>
      </c>
      <c r="C96" s="20" t="n">
        <v>124.9</v>
      </c>
      <c r="D96" s="20" t="n">
        <v>102.24</v>
      </c>
      <c r="E96" s="20" t="n">
        <v>102.24</v>
      </c>
      <c r="F96" s="19" t="s">
        <v>207</v>
      </c>
      <c r="G96" s="19" t="n">
        <v>129.9</v>
      </c>
      <c r="H96" s="7" t="n">
        <f>(G96-C96)/C96</f>
        <v>0.0400320256204964</v>
      </c>
      <c r="I96" s="19" t="n">
        <v>129.9</v>
      </c>
      <c r="J96" s="25" t="n">
        <f>I96-G96</f>
        <v>0</v>
      </c>
      <c r="K96" s="6" t="n">
        <f>(I96-C96)/C96</f>
        <v>0.0400320256204964</v>
      </c>
      <c r="L96" s="4" t="n">
        <f>I96-G96</f>
        <v>0</v>
      </c>
    </row>
    <row r="97" ht="16.5" customHeight="1">
      <c r="A97" s="19" t="s">
        <v>100</v>
      </c>
      <c r="B97" s="20" t="s">
        <v>187</v>
      </c>
      <c r="C97" s="20" t="n">
        <v>28.49</v>
      </c>
      <c r="D97" s="20" t="n">
        <v>25.49</v>
      </c>
      <c r="E97" s="20" t="n">
        <v>25.49</v>
      </c>
      <c r="F97" s="19" t="s">
        <v>187</v>
      </c>
      <c r="G97" s="19" t="n">
        <v>29.99</v>
      </c>
      <c r="H97" s="7" t="n">
        <f>(G97-C97)/C97</f>
        <v>0.0526500526500527</v>
      </c>
      <c r="I97" s="19" t="n">
        <v>29.99</v>
      </c>
      <c r="J97" s="25" t="n">
        <f>I97-G97</f>
        <v>0</v>
      </c>
      <c r="K97" s="6" t="n">
        <f>(I97-C97)/C97</f>
        <v>0.0526500526500527</v>
      </c>
      <c r="L97" s="4" t="n">
        <f>I97-G97</f>
        <v>0</v>
      </c>
    </row>
    <row r="98" ht="16.5" customHeight="1">
      <c r="A98" s="19" t="s">
        <v>101</v>
      </c>
      <c r="B98" s="20" t="s">
        <v>187</v>
      </c>
      <c r="C98" s="20" t="n">
        <v>28.49</v>
      </c>
      <c r="D98" s="20" t="n">
        <v>25.49</v>
      </c>
      <c r="E98" s="20" t="n">
        <v>25.49</v>
      </c>
      <c r="F98" s="19" t="s">
        <v>187</v>
      </c>
      <c r="G98" s="19" t="n">
        <v>29.99</v>
      </c>
      <c r="H98" s="7" t="n">
        <f>(G98-C98)/C98</f>
        <v>0.0526500526500527</v>
      </c>
      <c r="I98" s="19" t="n">
        <v>29.99</v>
      </c>
      <c r="J98" s="25" t="n">
        <f>I98-G98</f>
        <v>0</v>
      </c>
      <c r="K98" s="6" t="n">
        <f>(I98-C98)/C98</f>
        <v>0.0526500526500527</v>
      </c>
      <c r="L98" s="4" t="n">
        <f>I98-G98</f>
        <v>0</v>
      </c>
    </row>
    <row r="99" ht="16.5" customHeight="1">
      <c r="A99" s="19" t="s">
        <v>102</v>
      </c>
      <c r="B99" s="20" t="s">
        <v>189</v>
      </c>
      <c r="C99" s="20" t="n">
        <v>28.99</v>
      </c>
      <c r="D99" s="20" t="n">
        <v>22.32</v>
      </c>
      <c r="E99" s="20" t="n">
        <v>22.32</v>
      </c>
      <c r="F99" s="19" t="s">
        <v>189</v>
      </c>
      <c r="G99" s="19" t="n">
        <v>30.99</v>
      </c>
      <c r="H99" s="7" t="n">
        <f>(G99-C99)/C99</f>
        <v>0.0689893066574681</v>
      </c>
      <c r="I99" s="19" t="n">
        <v>30.99</v>
      </c>
      <c r="J99" s="25" t="n">
        <f>I99-G99</f>
        <v>0</v>
      </c>
      <c r="K99" s="6" t="n">
        <f>(I99-C99)/C99</f>
        <v>0.0689893066574681</v>
      </c>
      <c r="L99" s="4" t="n">
        <f>I99-G99</f>
        <v>0</v>
      </c>
    </row>
    <row r="100" ht="16.5" customHeight="1">
      <c r="A100" s="19" t="s">
        <v>103</v>
      </c>
      <c r="B100" s="20" t="s">
        <v>187</v>
      </c>
      <c r="C100" s="20" t="n">
        <v>28.49</v>
      </c>
      <c r="D100" s="20" t="n">
        <v>25.49</v>
      </c>
      <c r="E100" s="20" t="n">
        <v>25.49</v>
      </c>
      <c r="F100" s="19" t="s">
        <v>187</v>
      </c>
      <c r="G100" s="19" t="n">
        <v>29.99</v>
      </c>
      <c r="H100" s="7" t="n">
        <f>(G100-C100)/C100</f>
        <v>0.0526500526500527</v>
      </c>
      <c r="I100" s="19" t="n">
        <v>29.99</v>
      </c>
      <c r="J100" s="25" t="n">
        <f>I100-G100</f>
        <v>0</v>
      </c>
      <c r="K100" s="6" t="n">
        <f>(I100-C100)/C100</f>
        <v>0.0526500526500527</v>
      </c>
      <c r="L100" s="4" t="n">
        <f>I100-G100</f>
        <v>0</v>
      </c>
    </row>
    <row r="101" ht="16.5" customHeight="1">
      <c r="A101" s="19" t="s">
        <v>104</v>
      </c>
      <c r="B101" s="20" t="s">
        <v>187</v>
      </c>
      <c r="C101" s="20" t="n">
        <v>28.49</v>
      </c>
      <c r="D101" s="20" t="n">
        <v>25.49</v>
      </c>
      <c r="E101" s="20" t="n">
        <v>25.49</v>
      </c>
      <c r="F101" s="19" t="s">
        <v>187</v>
      </c>
      <c r="G101" s="19" t="n">
        <v>29.99</v>
      </c>
      <c r="H101" s="7" t="n">
        <f>(G101-C101)/C101</f>
        <v>0.0526500526500527</v>
      </c>
      <c r="I101" s="19" t="n">
        <v>29.99</v>
      </c>
      <c r="J101" s="25" t="n">
        <f>I101-G101</f>
        <v>0</v>
      </c>
      <c r="K101" s="6" t="n">
        <f>(I101-C101)/C101</f>
        <v>0.0526500526500527</v>
      </c>
      <c r="L101" s="4" t="n">
        <f>I101-G101</f>
        <v>0</v>
      </c>
    </row>
    <row r="102" ht="16.5" customHeight="1">
      <c r="A102" s="19" t="s">
        <v>105</v>
      </c>
      <c r="B102" s="20" t="s">
        <v>208</v>
      </c>
      <c r="C102" s="20" t="n">
        <v>669</v>
      </c>
      <c r="D102" s="20" t="n">
        <v>438.92</v>
      </c>
      <c r="E102" s="20" t="n">
        <v>438.92</v>
      </c>
      <c r="F102" s="19" t="s">
        <v>208</v>
      </c>
      <c r="G102" s="19" t="n">
        <v>599</v>
      </c>
      <c r="H102" s="7" t="n">
        <f>(G102-C102)/C102</f>
        <v>-0.104633781763827</v>
      </c>
      <c r="I102" s="19" t="n">
        <v>669</v>
      </c>
      <c r="J102" s="25" t="n">
        <f>I102-G102</f>
        <v>70</v>
      </c>
      <c r="K102" s="6" t="n">
        <f>(I102-C102)/C102</f>
        <v>0</v>
      </c>
      <c r="L102" s="4" t="n">
        <f>I102-G102</f>
        <v>70</v>
      </c>
    </row>
    <row r="103" ht="16.5" customHeight="1">
      <c r="A103" s="19" t="s">
        <v>106</v>
      </c>
      <c r="B103" s="20" t="s">
        <v>187</v>
      </c>
      <c r="C103" s="20" t="n">
        <v>28.49</v>
      </c>
      <c r="D103" s="20" t="n">
        <v>25.49</v>
      </c>
      <c r="E103" s="20" t="n">
        <v>25.49</v>
      </c>
      <c r="F103" s="19" t="s">
        <v>187</v>
      </c>
      <c r="G103" s="19" t="n">
        <v>29.99</v>
      </c>
      <c r="H103" s="7" t="n">
        <f>(G103-C103)/C103</f>
        <v>0.0526500526500527</v>
      </c>
      <c r="I103" s="19" t="n">
        <v>29.99</v>
      </c>
      <c r="J103" s="25" t="n">
        <f>I103-G103</f>
        <v>0</v>
      </c>
      <c r="K103" s="6" t="n">
        <f>(I103-C103)/C103</f>
        <v>0.0526500526500527</v>
      </c>
      <c r="L103" s="4" t="n">
        <f>I103-G103</f>
        <v>0</v>
      </c>
    </row>
    <row r="104" ht="16.5" customHeight="1">
      <c r="A104" s="19" t="s">
        <v>107</v>
      </c>
      <c r="B104" s="20" t="s">
        <v>187</v>
      </c>
      <c r="C104" s="20" t="n">
        <v>33.99</v>
      </c>
      <c r="D104" s="20" t="n">
        <v>24.78</v>
      </c>
      <c r="E104" s="20" t="n">
        <v>24.78</v>
      </c>
      <c r="F104" s="19" t="s">
        <v>187</v>
      </c>
      <c r="G104" s="19" t="n">
        <v>34.99</v>
      </c>
      <c r="H104" s="7" t="n">
        <f>(G104-C104)/C104</f>
        <v>0.0294204177699323</v>
      </c>
      <c r="I104" s="19" t="n">
        <v>34.99</v>
      </c>
      <c r="J104" s="25" t="n">
        <f>I104-G104</f>
        <v>0</v>
      </c>
      <c r="K104" s="6" t="n">
        <f>(I104-C104)/C104</f>
        <v>0.0294204177699323</v>
      </c>
      <c r="L104" s="4" t="n">
        <f>I104-G104</f>
        <v>0</v>
      </c>
    </row>
    <row r="105" ht="16.5" customHeight="1">
      <c r="A105" s="19" t="s">
        <v>108</v>
      </c>
      <c r="B105" s="20" t="s">
        <v>187</v>
      </c>
      <c r="C105" s="20" t="n">
        <v>28.49</v>
      </c>
      <c r="D105" s="20" t="n">
        <v>25.49</v>
      </c>
      <c r="E105" s="20" t="n">
        <v>25.49</v>
      </c>
      <c r="F105" s="19" t="s">
        <v>187</v>
      </c>
      <c r="G105" s="19" t="n">
        <v>29.99</v>
      </c>
      <c r="H105" s="7" t="n">
        <f>(G105-C105)/C105</f>
        <v>0.0526500526500527</v>
      </c>
      <c r="I105" s="19" t="n">
        <v>29.99</v>
      </c>
      <c r="J105" s="25" t="n">
        <f>I105-G105</f>
        <v>0</v>
      </c>
      <c r="K105" s="6" t="n">
        <f>(I105-C105)/C105</f>
        <v>0.0526500526500527</v>
      </c>
      <c r="L105" s="4" t="n">
        <f>I105-G105</f>
        <v>0</v>
      </c>
    </row>
    <row r="106" ht="16.5" customHeight="1">
      <c r="A106" s="19" t="s">
        <v>109</v>
      </c>
      <c r="B106" s="20" t="s">
        <v>189</v>
      </c>
      <c r="C106" s="20" t="n">
        <v>24.49</v>
      </c>
      <c r="D106" s="20" t="n">
        <v>21.24</v>
      </c>
      <c r="E106" s="20" t="n">
        <v>21.24</v>
      </c>
      <c r="F106" s="19" t="s">
        <v>189</v>
      </c>
      <c r="G106" s="19" t="n">
        <v>24.99</v>
      </c>
      <c r="H106" s="7" t="n">
        <f>(G106-C106)/C106</f>
        <v>0.0204164965291956</v>
      </c>
      <c r="I106" s="19" t="n">
        <v>24.99</v>
      </c>
      <c r="J106" s="25" t="n">
        <f>I106-G106</f>
        <v>0</v>
      </c>
      <c r="K106" s="6" t="n">
        <f>(I106-C106)/C106</f>
        <v>0.0204164965291956</v>
      </c>
      <c r="L106" s="4" t="n">
        <f>I106-G106</f>
        <v>0</v>
      </c>
    </row>
    <row r="107" ht="16.5" customHeight="1">
      <c r="A107" s="19" t="s">
        <v>110</v>
      </c>
      <c r="B107" s="20" t="s">
        <v>187</v>
      </c>
      <c r="C107" s="20" t="n">
        <v>28.49</v>
      </c>
      <c r="D107" s="20" t="n">
        <v>25.49</v>
      </c>
      <c r="E107" s="20" t="n">
        <v>25.49</v>
      </c>
      <c r="F107" s="19" t="s">
        <v>187</v>
      </c>
      <c r="G107" s="19" t="n">
        <v>29.99</v>
      </c>
      <c r="H107" s="7" t="n">
        <f>(G107-C107)/C107</f>
        <v>0.0526500526500527</v>
      </c>
      <c r="I107" s="19" t="n">
        <v>29.99</v>
      </c>
      <c r="J107" s="25" t="n">
        <f>I107-G107</f>
        <v>0</v>
      </c>
      <c r="K107" s="6" t="n">
        <f>(I107-C107)/C107</f>
        <v>0.0526500526500527</v>
      </c>
      <c r="L107" s="4" t="n">
        <f>I107-G107</f>
        <v>0</v>
      </c>
    </row>
    <row r="108" ht="16.5" customHeight="1">
      <c r="A108" s="19" t="s">
        <v>111</v>
      </c>
      <c r="B108" s="20" t="s">
        <v>187</v>
      </c>
      <c r="C108" s="20" t="n">
        <v>28.49</v>
      </c>
      <c r="D108" s="20" t="n">
        <v>25.49</v>
      </c>
      <c r="E108" s="20" t="n">
        <v>25.49</v>
      </c>
      <c r="F108" s="19" t="s">
        <v>187</v>
      </c>
      <c r="G108" s="19" t="n">
        <v>29.99</v>
      </c>
      <c r="H108" s="7" t="n">
        <f>(G108-C108)/C108</f>
        <v>0.0526500526500527</v>
      </c>
      <c r="I108" s="19" t="n">
        <v>29.99</v>
      </c>
      <c r="J108" s="25" t="n">
        <f>I108-G108</f>
        <v>0</v>
      </c>
      <c r="K108" s="6" t="n">
        <f>(I108-C108)/C108</f>
        <v>0.0526500526500527</v>
      </c>
      <c r="L108" s="4" t="n">
        <f>I108-G108</f>
        <v>0</v>
      </c>
    </row>
    <row r="109" ht="16.5" customHeight="1">
      <c r="A109" s="19" t="s">
        <v>112</v>
      </c>
      <c r="B109" s="20" t="s">
        <v>187</v>
      </c>
      <c r="C109" s="20" t="n">
        <v>28.49</v>
      </c>
      <c r="D109" s="20" t="n">
        <v>25.49</v>
      </c>
      <c r="E109" s="20" t="n">
        <v>25.49</v>
      </c>
      <c r="F109" s="19" t="s">
        <v>187</v>
      </c>
      <c r="G109" s="19" t="n">
        <v>29.99</v>
      </c>
      <c r="H109" s="7" t="n">
        <f>(G109-C109)/C109</f>
        <v>0.0526500526500527</v>
      </c>
      <c r="I109" s="19" t="n">
        <v>29.99</v>
      </c>
      <c r="J109" s="25" t="n">
        <f>I109-G109</f>
        <v>0</v>
      </c>
      <c r="K109" s="6" t="n">
        <f>(I109-C109)/C109</f>
        <v>0.0526500526500527</v>
      </c>
      <c r="L109" s="4" t="n">
        <f>I109-G109</f>
        <v>0</v>
      </c>
    </row>
    <row r="110" ht="16.5" customHeight="1">
      <c r="A110" s="19" t="s">
        <v>113</v>
      </c>
      <c r="B110" s="20" t="s">
        <v>187</v>
      </c>
      <c r="C110" s="20" t="n">
        <v>28.49</v>
      </c>
      <c r="D110" s="20" t="n">
        <v>25.49</v>
      </c>
      <c r="E110" s="20" t="n">
        <v>25.49</v>
      </c>
      <c r="F110" s="19" t="s">
        <v>187</v>
      </c>
      <c r="G110" s="19" t="n">
        <v>29.99</v>
      </c>
      <c r="H110" s="7" t="n">
        <f>(G110-C110)/C110</f>
        <v>0.0526500526500527</v>
      </c>
      <c r="I110" s="19" t="n">
        <v>29.99</v>
      </c>
      <c r="J110" s="25" t="n">
        <f>I110-G110</f>
        <v>0</v>
      </c>
      <c r="K110" s="6" t="n">
        <f>(I110-C110)/C110</f>
        <v>0.0526500526500527</v>
      </c>
      <c r="L110" s="4" t="n">
        <f>I110-G110</f>
        <v>0</v>
      </c>
    </row>
    <row r="111" ht="16.5" customHeight="1">
      <c r="A111" s="19" t="s">
        <v>114</v>
      </c>
      <c r="B111" s="20" t="s">
        <v>187</v>
      </c>
      <c r="C111" s="20" t="n">
        <v>28.49</v>
      </c>
      <c r="D111" s="20" t="n">
        <v>25.49</v>
      </c>
      <c r="E111" s="20" t="n">
        <v>25.49</v>
      </c>
      <c r="F111" s="19" t="s">
        <v>187</v>
      </c>
      <c r="G111" s="19" t="n">
        <v>29.99</v>
      </c>
      <c r="H111" s="7" t="n">
        <f>(G111-C111)/C111</f>
        <v>0.0526500526500527</v>
      </c>
      <c r="I111" s="19" t="n">
        <v>29.99</v>
      </c>
      <c r="J111" s="25" t="n">
        <f>I111-G111</f>
        <v>0</v>
      </c>
      <c r="K111" s="6" t="n">
        <f>(I111-C111)/C111</f>
        <v>0.0526500526500527</v>
      </c>
      <c r="L111" s="4" t="n">
        <f>I111-G111</f>
        <v>0</v>
      </c>
    </row>
    <row r="112" ht="16.5" customHeight="1">
      <c r="A112" s="19" t="s">
        <v>115</v>
      </c>
      <c r="B112" s="20" t="s">
        <v>187</v>
      </c>
      <c r="C112" s="20" t="n">
        <v>28.49</v>
      </c>
      <c r="D112" s="20" t="n">
        <v>25.49</v>
      </c>
      <c r="E112" s="20" t="n">
        <v>25.49</v>
      </c>
      <c r="F112" s="19" t="s">
        <v>187</v>
      </c>
      <c r="G112" s="19" t="n">
        <v>29.99</v>
      </c>
      <c r="H112" s="7" t="n">
        <f>(G112-C112)/C112</f>
        <v>0.0526500526500527</v>
      </c>
      <c r="I112" s="19" t="n">
        <v>29.99</v>
      </c>
      <c r="J112" s="25" t="n">
        <f>I112-G112</f>
        <v>0</v>
      </c>
      <c r="K112" s="6" t="n">
        <f>(I112-C112)/C112</f>
        <v>0.0526500526500527</v>
      </c>
      <c r="L112" s="4" t="n">
        <f>I112-G112</f>
        <v>0</v>
      </c>
    </row>
    <row r="113" ht="16.5" customHeight="1">
      <c r="A113" s="19" t="s">
        <v>116</v>
      </c>
      <c r="B113" s="20" t="s">
        <v>187</v>
      </c>
      <c r="C113" s="20" t="n">
        <v>28.49</v>
      </c>
      <c r="D113" s="20" t="n">
        <v>25.79</v>
      </c>
      <c r="E113" s="20" t="n">
        <v>25.79</v>
      </c>
      <c r="F113" s="19" t="s">
        <v>187</v>
      </c>
      <c r="G113" s="19" t="n">
        <v>34.99</v>
      </c>
      <c r="H113" s="7" t="n">
        <f>(G113-C113)/C113</f>
        <v>0.228150228150228</v>
      </c>
      <c r="I113" s="19" t="n">
        <v>34.99</v>
      </c>
      <c r="J113" s="25" t="n">
        <f>I113-G113</f>
        <v>0</v>
      </c>
      <c r="K113" s="6" t="n">
        <f>(I113-C113)/C113</f>
        <v>0.228150228150228</v>
      </c>
      <c r="L113" s="4" t="n">
        <f>I113-G113</f>
        <v>0</v>
      </c>
    </row>
    <row r="114" ht="16.5" customHeight="1">
      <c r="A114" s="19" t="s">
        <v>117</v>
      </c>
      <c r="B114" s="20" t="s">
        <v>189</v>
      </c>
      <c r="C114" s="20" t="n">
        <v>29.99</v>
      </c>
      <c r="D114" s="20" t="n">
        <v>21.77</v>
      </c>
      <c r="E114" s="20" t="n">
        <v>21.77</v>
      </c>
      <c r="F114" s="19" t="s">
        <v>189</v>
      </c>
      <c r="G114" s="19" t="n">
        <v>30.99</v>
      </c>
      <c r="H114" s="7" t="n">
        <f>(G114-C114)/C114</f>
        <v>0.0333444481493831</v>
      </c>
      <c r="I114" s="19" t="n">
        <v>30.99</v>
      </c>
      <c r="J114" s="25" t="n">
        <f>I114-G114</f>
        <v>0</v>
      </c>
      <c r="K114" s="6" t="n">
        <f>(I114-C114)/C114</f>
        <v>0.0333444481493831</v>
      </c>
      <c r="L114" s="4" t="n">
        <f>I114-G114</f>
        <v>0</v>
      </c>
    </row>
    <row r="115" ht="16.5" customHeight="1">
      <c r="A115" s="19" t="s">
        <v>118</v>
      </c>
      <c r="B115" s="20" t="s">
        <v>209</v>
      </c>
      <c r="C115" s="20" t="n">
        <v>45.99</v>
      </c>
      <c r="D115" s="20" t="n">
        <v>36.95</v>
      </c>
      <c r="E115" s="20" t="n">
        <v>36.95</v>
      </c>
      <c r="F115" s="19" t="s">
        <v>209</v>
      </c>
      <c r="G115" s="19" t="n">
        <v>49.99</v>
      </c>
      <c r="H115" s="7" t="n">
        <f>(G115-C115)/C115</f>
        <v>0.0869754294411829</v>
      </c>
      <c r="I115" s="19" t="n">
        <v>49.99</v>
      </c>
      <c r="J115" s="25" t="n">
        <f>I115-G115</f>
        <v>0</v>
      </c>
      <c r="K115" s="6" t="n">
        <f>(I115-C115)/C115</f>
        <v>0.0869754294411829</v>
      </c>
      <c r="L115" s="4" t="n">
        <f>I115-G115</f>
        <v>0</v>
      </c>
    </row>
    <row r="116" ht="16.5" customHeight="1">
      <c r="A116" s="19" t="s">
        <v>119</v>
      </c>
      <c r="B116" s="20" t="s">
        <v>187</v>
      </c>
      <c r="C116" s="20" t="n">
        <v>28.49</v>
      </c>
      <c r="D116" s="20" t="n">
        <v>25.49</v>
      </c>
      <c r="E116" s="20" t="n">
        <v>25.49</v>
      </c>
      <c r="F116" s="19" t="s">
        <v>187</v>
      </c>
      <c r="G116" s="19" t="n">
        <v>29.99</v>
      </c>
      <c r="H116" s="7" t="n">
        <f>(G116-C116)/C116</f>
        <v>0.0526500526500527</v>
      </c>
      <c r="I116" s="19" t="n">
        <v>29.99</v>
      </c>
      <c r="J116" s="25" t="n">
        <f>I116-G116</f>
        <v>0</v>
      </c>
      <c r="K116" s="6" t="n">
        <f>(I116-C116)/C116</f>
        <v>0.0526500526500527</v>
      </c>
      <c r="L116" s="4" t="n">
        <f>I116-G116</f>
        <v>0</v>
      </c>
    </row>
    <row r="117" ht="16.5" customHeight="1">
      <c r="A117" s="19" t="s">
        <v>120</v>
      </c>
      <c r="B117" s="20" t="s">
        <v>187</v>
      </c>
      <c r="C117" s="20" t="n">
        <v>28.49</v>
      </c>
      <c r="D117" s="20" t="n">
        <v>25.49</v>
      </c>
      <c r="E117" s="20" t="n">
        <v>25.49</v>
      </c>
      <c r="F117" s="19" t="s">
        <v>187</v>
      </c>
      <c r="G117" s="19" t="n">
        <v>29.99</v>
      </c>
      <c r="H117" s="7" t="n">
        <f>(G117-C117)/C117</f>
        <v>0.0526500526500527</v>
      </c>
      <c r="I117" s="19" t="n">
        <v>29.99</v>
      </c>
      <c r="J117" s="25" t="n">
        <f>I117-G117</f>
        <v>0</v>
      </c>
      <c r="K117" s="6" t="n">
        <f>(I117-C117)/C117</f>
        <v>0.0526500526500527</v>
      </c>
      <c r="L117" s="4" t="n">
        <f>I117-G117</f>
        <v>0</v>
      </c>
    </row>
    <row r="118" ht="16.5" customHeight="1">
      <c r="A118" s="19" t="s">
        <v>121</v>
      </c>
      <c r="B118" s="20" t="s">
        <v>210</v>
      </c>
      <c r="C118" s="20" t="n">
        <v>12700</v>
      </c>
      <c r="D118" s="20" t="n">
        <v>39455.81</v>
      </c>
      <c r="E118" s="20" t="n">
        <v>39455.81</v>
      </c>
      <c r="F118" s="19" t="s">
        <v>210</v>
      </c>
      <c r="G118" s="19" t="n">
        <v>49900</v>
      </c>
      <c r="H118" s="7" t="n">
        <f>(G118-C118)/C118</f>
        <v>2.92913385826772</v>
      </c>
      <c r="I118" s="19" t="n">
        <v>49900</v>
      </c>
      <c r="J118" s="25" t="n">
        <f>I118-G118</f>
        <v>0</v>
      </c>
      <c r="K118" s="6" t="n">
        <f>(I118-C118)/C118</f>
        <v>2.92913385826772</v>
      </c>
      <c r="L118" s="4" t="n">
        <f>I118-G118</f>
        <v>0</v>
      </c>
    </row>
    <row r="119" ht="16.5" customHeight="1">
      <c r="A119" s="19" t="s">
        <v>122</v>
      </c>
      <c r="B119" s="20" t="s">
        <v>187</v>
      </c>
      <c r="C119" s="20" t="n">
        <v>28.49</v>
      </c>
      <c r="D119" s="20" t="n">
        <v>25.49</v>
      </c>
      <c r="E119" s="20" t="n">
        <v>25.49</v>
      </c>
      <c r="F119" s="19" t="s">
        <v>187</v>
      </c>
      <c r="G119" s="19" t="n">
        <v>29.99</v>
      </c>
      <c r="H119" s="7" t="n">
        <f>(G119-C119)/C119</f>
        <v>0.0526500526500527</v>
      </c>
      <c r="I119" s="19" t="n">
        <v>29.99</v>
      </c>
      <c r="J119" s="25" t="n">
        <f>I119-G119</f>
        <v>0</v>
      </c>
      <c r="K119" s="6" t="n">
        <f>(I119-C119)/C119</f>
        <v>0.0526500526500527</v>
      </c>
      <c r="L119" s="4" t="n">
        <f>I119-G119</f>
        <v>0</v>
      </c>
    </row>
    <row r="120" ht="16.5" customHeight="1">
      <c r="A120" s="19" t="s">
        <v>123</v>
      </c>
      <c r="B120" s="20" t="s">
        <v>211</v>
      </c>
      <c r="C120" s="20" t="n">
        <v>299</v>
      </c>
      <c r="D120" s="20" t="n">
        <v>271.32</v>
      </c>
      <c r="E120" s="20" t="n">
        <v>271.32</v>
      </c>
      <c r="F120" s="19" t="s">
        <v>211</v>
      </c>
      <c r="G120" s="19" t="n">
        <v>399</v>
      </c>
      <c r="H120" s="7" t="n">
        <f>(G120-C120)/C120</f>
        <v>0.334448160535117</v>
      </c>
      <c r="I120" s="19" t="n">
        <v>399</v>
      </c>
      <c r="J120" s="25" t="n">
        <f>I120-G120</f>
        <v>0</v>
      </c>
      <c r="K120" s="6" t="n">
        <f>(I120-C120)/C120</f>
        <v>0.334448160535117</v>
      </c>
      <c r="L120" s="4" t="n">
        <f>I120-G120</f>
        <v>0</v>
      </c>
    </row>
    <row r="121" ht="16.5" customHeight="1">
      <c r="A121" s="19" t="s">
        <v>124</v>
      </c>
      <c r="B121" s="20" t="s">
        <v>187</v>
      </c>
      <c r="C121" s="20" t="n">
        <v>29.99</v>
      </c>
      <c r="D121" s="20" t="n">
        <v>24.28</v>
      </c>
      <c r="E121" s="20" t="n">
        <v>24.28</v>
      </c>
      <c r="F121" s="19" t="s">
        <v>187</v>
      </c>
      <c r="G121" s="19" t="n">
        <v>29.99</v>
      </c>
      <c r="H121" s="7" t="n">
        <f>(G121-C121)/C121</f>
        <v>0</v>
      </c>
      <c r="I121" s="19" t="n">
        <v>29.99</v>
      </c>
      <c r="J121" s="25" t="n">
        <f>I121-G121</f>
        <v>0</v>
      </c>
      <c r="K121" s="6" t="n">
        <f>(I121-C121)/C121</f>
        <v>0</v>
      </c>
      <c r="L121" s="4" t="n">
        <f>I121-G121</f>
        <v>0</v>
      </c>
    </row>
    <row r="122" ht="16.5" customHeight="1">
      <c r="A122" s="19" t="s">
        <v>125</v>
      </c>
      <c r="B122" s="20" t="s">
        <v>212</v>
      </c>
      <c r="C122" s="20" t="n">
        <v>4900</v>
      </c>
      <c r="D122" s="20" t="n">
        <v>6715</v>
      </c>
      <c r="E122" s="20" t="n">
        <v>6715</v>
      </c>
      <c r="F122" s="19" t="s">
        <v>212</v>
      </c>
      <c r="G122" s="19" t="n">
        <v>7900</v>
      </c>
      <c r="H122" s="7" t="n">
        <f>(G122-C122)/C122</f>
        <v>0.612244897959184</v>
      </c>
      <c r="I122" s="19" t="n">
        <v>7900</v>
      </c>
      <c r="J122" s="25" t="n">
        <f>I122-G122</f>
        <v>0</v>
      </c>
      <c r="K122" s="6" t="n">
        <f>(I122-C122)/C122</f>
        <v>0.612244897959184</v>
      </c>
      <c r="L122" s="4" t="n">
        <f>I122-G122</f>
        <v>0</v>
      </c>
    </row>
    <row r="123" ht="16.5" customHeight="1">
      <c r="A123" s="19" t="s">
        <v>126</v>
      </c>
      <c r="B123" s="20" t="s">
        <v>187</v>
      </c>
      <c r="C123" s="20" t="n">
        <v>28.49</v>
      </c>
      <c r="D123" s="20" t="n">
        <v>25.49</v>
      </c>
      <c r="E123" s="20" t="n">
        <v>25.49</v>
      </c>
      <c r="F123" s="19" t="s">
        <v>187</v>
      </c>
      <c r="G123" s="19" t="n">
        <v>29.99</v>
      </c>
      <c r="H123" s="7" t="n">
        <f>(G123-C123)/C123</f>
        <v>0.0526500526500527</v>
      </c>
      <c r="I123" s="19" t="n">
        <v>29.99</v>
      </c>
      <c r="J123" s="25" t="n">
        <f>I123-G123</f>
        <v>0</v>
      </c>
      <c r="K123" s="6" t="n">
        <f>(I123-C123)/C123</f>
        <v>0.0526500526500527</v>
      </c>
      <c r="L123" s="4" t="n">
        <f>I123-G123</f>
        <v>0</v>
      </c>
    </row>
    <row r="124" ht="16.5" customHeight="1">
      <c r="A124" s="19" t="s">
        <v>127</v>
      </c>
      <c r="B124" s="20" t="s">
        <v>187</v>
      </c>
      <c r="C124" s="20" t="n">
        <v>28.49</v>
      </c>
      <c r="D124" s="20" t="n">
        <v>25.49</v>
      </c>
      <c r="E124" s="20" t="n">
        <v>25.49</v>
      </c>
      <c r="F124" s="19" t="s">
        <v>187</v>
      </c>
      <c r="G124" s="19" t="n">
        <v>29.99</v>
      </c>
      <c r="H124" s="7" t="n">
        <f>(G124-C124)/C124</f>
        <v>0.0526500526500527</v>
      </c>
      <c r="I124" s="19" t="n">
        <v>29.99</v>
      </c>
      <c r="J124" s="25" t="n">
        <f>I124-G124</f>
        <v>0</v>
      </c>
      <c r="K124" s="6" t="n">
        <f>(I124-C124)/C124</f>
        <v>0.0526500526500527</v>
      </c>
      <c r="L124" s="4" t="n">
        <f>I124-G124</f>
        <v>0</v>
      </c>
    </row>
    <row r="125" ht="16.5" customHeight="1">
      <c r="A125" s="19" t="s">
        <v>128</v>
      </c>
      <c r="B125" s="20" t="s">
        <v>187</v>
      </c>
      <c r="C125" s="20" t="n">
        <v>28.49</v>
      </c>
      <c r="D125" s="20" t="n">
        <v>25.49</v>
      </c>
      <c r="E125" s="20" t="n">
        <v>25.49</v>
      </c>
      <c r="F125" s="19" t="s">
        <v>187</v>
      </c>
      <c r="G125" s="19" t="n">
        <v>29.99</v>
      </c>
      <c r="H125" s="7" t="n">
        <f>(G125-C125)/C125</f>
        <v>0.0526500526500527</v>
      </c>
      <c r="I125" s="19" t="n">
        <v>29.99</v>
      </c>
      <c r="J125" s="25" t="n">
        <f>I125-G125</f>
        <v>0</v>
      </c>
      <c r="K125" s="6" t="n">
        <f>(I125-C125)/C125</f>
        <v>0.0526500526500527</v>
      </c>
      <c r="L125" s="4" t="n">
        <f>I125-G125</f>
        <v>0</v>
      </c>
    </row>
    <row r="126" ht="16.5" customHeight="1">
      <c r="A126" s="19" t="s">
        <v>129</v>
      </c>
      <c r="B126" s="20" t="s">
        <v>187</v>
      </c>
      <c r="C126" s="20" t="n">
        <v>28.49</v>
      </c>
      <c r="D126" s="20" t="n">
        <v>25.49</v>
      </c>
      <c r="E126" s="20" t="n">
        <v>25.49</v>
      </c>
      <c r="F126" s="19" t="s">
        <v>187</v>
      </c>
      <c r="G126" s="19" t="n">
        <v>29.99</v>
      </c>
      <c r="H126" s="7" t="n">
        <f>(G126-C126)/C126</f>
        <v>0.0526500526500527</v>
      </c>
      <c r="I126" s="19" t="n">
        <v>29.99</v>
      </c>
      <c r="J126" s="25" t="n">
        <f>I126-G126</f>
        <v>0</v>
      </c>
      <c r="K126" s="6" t="n">
        <f>(I126-C126)/C126</f>
        <v>0.0526500526500527</v>
      </c>
      <c r="L126" s="4" t="n">
        <f>I126-G126</f>
        <v>0</v>
      </c>
    </row>
    <row r="127" ht="16.5" customHeight="1">
      <c r="A127" s="19" t="s">
        <v>130</v>
      </c>
      <c r="B127" s="20" t="s">
        <v>213</v>
      </c>
      <c r="C127" s="20" t="n">
        <v>114.9</v>
      </c>
      <c r="D127" s="20" t="n">
        <v>93.57</v>
      </c>
      <c r="E127" s="20" t="n">
        <v>93.57</v>
      </c>
      <c r="F127" s="19" t="s">
        <v>213</v>
      </c>
      <c r="G127" s="19" t="n">
        <v>129.9</v>
      </c>
      <c r="H127" s="7" t="n">
        <f>(G127-C127)/C127</f>
        <v>0.130548302872063</v>
      </c>
      <c r="I127" s="19" t="n">
        <v>129.9</v>
      </c>
      <c r="J127" s="25" t="n">
        <f>I127-G127</f>
        <v>0</v>
      </c>
      <c r="K127" s="6" t="n">
        <f>(I127-C127)/C127</f>
        <v>0.130548302872063</v>
      </c>
      <c r="L127" s="4" t="n">
        <f>I127-G127</f>
        <v>0</v>
      </c>
    </row>
    <row r="128" ht="16.5" customHeight="1">
      <c r="A128" s="19" t="s">
        <v>131</v>
      </c>
      <c r="B128" s="20" t="s">
        <v>214</v>
      </c>
      <c r="C128" s="20" t="n">
        <v>1450</v>
      </c>
      <c r="D128" s="20" t="n">
        <v>1521.5</v>
      </c>
      <c r="E128" s="20" t="n">
        <v>1521.5</v>
      </c>
      <c r="F128" s="19" t="s">
        <v>214</v>
      </c>
      <c r="G128" s="19" t="n">
        <v>1790</v>
      </c>
      <c r="H128" s="7" t="n">
        <f>(G128-C128)/C128</f>
        <v>0.23448275862069</v>
      </c>
      <c r="I128" s="19" t="n">
        <v>1790</v>
      </c>
      <c r="J128" s="25" t="n">
        <f>I128-G128</f>
        <v>0</v>
      </c>
      <c r="K128" s="6" t="n">
        <f>(I128-C128)/C128</f>
        <v>0.23448275862069</v>
      </c>
      <c r="L128" s="4" t="n">
        <f>I128-G128</f>
        <v>0</v>
      </c>
    </row>
    <row r="129" ht="16.5" customHeight="1">
      <c r="A129" s="19" t="s">
        <v>132</v>
      </c>
      <c r="B129" s="20" t="s">
        <v>215</v>
      </c>
      <c r="C129" s="20" t="n">
        <v>139.99</v>
      </c>
      <c r="D129" s="20" t="n">
        <v>103.65</v>
      </c>
      <c r="E129" s="20" t="n">
        <v>103.65</v>
      </c>
      <c r="F129" s="19" t="s">
        <v>215</v>
      </c>
      <c r="G129" s="19" t="n">
        <v>149.99</v>
      </c>
      <c r="H129" s="7" t="n">
        <f>(G129-C129)/C129</f>
        <v>0.0714336738338453</v>
      </c>
      <c r="I129" s="19" t="n">
        <v>149.99</v>
      </c>
      <c r="J129" s="25" t="n">
        <f>I129-G129</f>
        <v>0</v>
      </c>
      <c r="K129" s="6" t="n">
        <f>(I129-C129)/C129</f>
        <v>0.0714336738338453</v>
      </c>
      <c r="L129" s="4" t="n">
        <f>I129-G129</f>
        <v>0</v>
      </c>
    </row>
    <row r="130" ht="16.5" customHeight="1">
      <c r="A130" s="19" t="s">
        <v>133</v>
      </c>
      <c r="B130" s="20" t="s">
        <v>189</v>
      </c>
      <c r="C130" s="20" t="n">
        <v>29.99</v>
      </c>
      <c r="D130" s="20" t="n">
        <v>21.42</v>
      </c>
      <c r="E130" s="20" t="n">
        <v>21.42</v>
      </c>
      <c r="F130" s="19" t="s">
        <v>189</v>
      </c>
      <c r="G130" s="19" t="n">
        <v>30.99</v>
      </c>
      <c r="H130" s="7" t="n">
        <f>(G130-C130)/C130</f>
        <v>0.0333444481493831</v>
      </c>
      <c r="I130" s="19" t="n">
        <v>30.99</v>
      </c>
      <c r="J130" s="25" t="n">
        <f>I130-G130</f>
        <v>0</v>
      </c>
      <c r="K130" s="6" t="n">
        <f>(I130-C130)/C130</f>
        <v>0.0333444481493831</v>
      </c>
      <c r="L130" s="4" t="n">
        <f>I130-G130</f>
        <v>0</v>
      </c>
    </row>
    <row r="131" ht="16.5" customHeight="1">
      <c r="A131" s="19" t="s">
        <v>134</v>
      </c>
      <c r="B131" s="20" t="s">
        <v>216</v>
      </c>
      <c r="C131" s="20" t="n">
        <v>104.99</v>
      </c>
      <c r="D131" s="20" t="n">
        <v>84.99</v>
      </c>
      <c r="E131" s="20" t="n">
        <v>84.99</v>
      </c>
      <c r="F131" s="19" t="s">
        <v>216</v>
      </c>
      <c r="G131" s="19" t="n">
        <v>99.99</v>
      </c>
      <c r="H131" s="7" t="n">
        <f>(G131-C131)/C131</f>
        <v>-0.0476235831983999</v>
      </c>
      <c r="I131" s="19" t="n">
        <v>104.99</v>
      </c>
      <c r="J131" s="25" t="n">
        <f>I131-G131</f>
        <v>5</v>
      </c>
      <c r="K131" s="6" t="n">
        <f>(I131-C131)/C131</f>
        <v>0</v>
      </c>
      <c r="L131" s="4" t="n">
        <f>I131-G131</f>
        <v>5</v>
      </c>
    </row>
    <row r="132" ht="16.5" customHeight="1">
      <c r="A132" s="19" t="s">
        <v>135</v>
      </c>
      <c r="B132" s="20" t="s">
        <v>217</v>
      </c>
      <c r="C132" s="20" t="n">
        <v>144.99</v>
      </c>
      <c r="D132" s="20" t="n">
        <v>107.14</v>
      </c>
      <c r="E132" s="20" t="n">
        <v>107.14</v>
      </c>
      <c r="F132" s="19" t="s">
        <v>217</v>
      </c>
      <c r="G132" s="19" t="n">
        <v>149.99</v>
      </c>
      <c r="H132" s="7" t="n">
        <f>(G132-C132)/C132</f>
        <v>0.0344851369059935</v>
      </c>
      <c r="I132" s="19" t="n">
        <v>149.99</v>
      </c>
      <c r="J132" s="25" t="n">
        <f>I132-G132</f>
        <v>0</v>
      </c>
      <c r="K132" s="6" t="n">
        <f>(I132-C132)/C132</f>
        <v>0.0344851369059935</v>
      </c>
      <c r="L132" s="4" t="n">
        <f>I132-G132</f>
        <v>0</v>
      </c>
    </row>
    <row r="133" ht="16.5" customHeight="1">
      <c r="A133" s="19" t="s">
        <v>136</v>
      </c>
      <c r="B133" s="20" t="s">
        <v>218</v>
      </c>
      <c r="C133" s="20" t="n">
        <v>2390</v>
      </c>
      <c r="D133" s="20" t="n">
        <v>1763.75</v>
      </c>
      <c r="E133" s="20" t="n">
        <v>1763.75</v>
      </c>
      <c r="F133" s="19" t="s">
        <v>218</v>
      </c>
      <c r="G133" s="19" t="n">
        <v>2490</v>
      </c>
      <c r="H133" s="7" t="n">
        <f>(G133-C133)/C133</f>
        <v>0.0418410041841004</v>
      </c>
      <c r="I133" s="19" t="n">
        <v>2490</v>
      </c>
      <c r="J133" s="25" t="n">
        <f>I133-G133</f>
        <v>0</v>
      </c>
      <c r="K133" s="6" t="n">
        <f>(I133-C133)/C133</f>
        <v>0.0418410041841004</v>
      </c>
      <c r="L133" s="4" t="n">
        <f>I133-G133</f>
        <v>0</v>
      </c>
    </row>
    <row r="134" ht="16.5" customHeight="1">
      <c r="A134" s="19" t="s">
        <v>137</v>
      </c>
      <c r="B134" s="20" t="s">
        <v>187</v>
      </c>
      <c r="C134" s="20" t="n">
        <v>28.49</v>
      </c>
      <c r="D134" s="20" t="n">
        <v>25.49</v>
      </c>
      <c r="E134" s="20" t="n">
        <v>25.49</v>
      </c>
      <c r="F134" s="19" t="s">
        <v>187</v>
      </c>
      <c r="G134" s="19" t="n">
        <v>29.99</v>
      </c>
      <c r="H134" s="7" t="n">
        <f>(G134-C134)/C134</f>
        <v>0.0526500526500527</v>
      </c>
      <c r="I134" s="19" t="n">
        <v>29.99</v>
      </c>
      <c r="J134" s="25" t="n">
        <f>I134-G134</f>
        <v>0</v>
      </c>
      <c r="K134" s="6" t="n">
        <f>(I134-C134)/C134</f>
        <v>0.0526500526500527</v>
      </c>
      <c r="L134" s="4" t="n">
        <f>I134-G134</f>
        <v>0</v>
      </c>
    </row>
    <row r="135" ht="16.5" customHeight="1">
      <c r="A135" s="19" t="s">
        <v>138</v>
      </c>
      <c r="B135" s="20" t="s">
        <v>187</v>
      </c>
      <c r="C135" s="20" t="n">
        <v>28.49</v>
      </c>
      <c r="D135" s="20" t="n">
        <v>25.49</v>
      </c>
      <c r="E135" s="20" t="n">
        <v>25.49</v>
      </c>
      <c r="F135" s="19" t="s">
        <v>187</v>
      </c>
      <c r="G135" s="19" t="n">
        <v>29.99</v>
      </c>
      <c r="H135" s="7" t="n">
        <f>(G135-C135)/C135</f>
        <v>0.0526500526500527</v>
      </c>
      <c r="I135" s="19" t="n">
        <v>29.99</v>
      </c>
      <c r="J135" s="25" t="n">
        <f>I135-G135</f>
        <v>0</v>
      </c>
      <c r="K135" s="6" t="n">
        <f>(I135-C135)/C135</f>
        <v>0.0526500526500527</v>
      </c>
      <c r="L135" s="4" t="n">
        <f>I135-G135</f>
        <v>0</v>
      </c>
    </row>
    <row r="136" ht="16.5" customHeight="1">
      <c r="A136" s="19" t="s">
        <v>139</v>
      </c>
      <c r="B136" s="20" t="s">
        <v>219</v>
      </c>
      <c r="C136" s="20" t="n">
        <v>122.99</v>
      </c>
      <c r="D136" s="20" t="n">
        <v>96.08</v>
      </c>
      <c r="E136" s="20" t="n">
        <v>96.08</v>
      </c>
      <c r="F136" s="19" t="s">
        <v>219</v>
      </c>
      <c r="G136" s="19" t="n">
        <v>129.99</v>
      </c>
      <c r="H136" s="7" t="n">
        <f>(G136-C136)/C136</f>
        <v>0.0569151963574275</v>
      </c>
      <c r="I136" s="19" t="n">
        <v>129.99</v>
      </c>
      <c r="J136" s="25" t="n">
        <f>I136-G136</f>
        <v>0</v>
      </c>
      <c r="K136" s="6" t="n">
        <f>(I136-C136)/C136</f>
        <v>0.0569151963574275</v>
      </c>
      <c r="L136" s="4" t="n">
        <f>I136-G136</f>
        <v>0</v>
      </c>
    </row>
    <row r="137" ht="16.5" customHeight="1">
      <c r="A137" s="19" t="s">
        <v>140</v>
      </c>
      <c r="B137" s="20" t="s">
        <v>187</v>
      </c>
      <c r="C137" s="20" t="n">
        <v>28.49</v>
      </c>
      <c r="D137" s="20" t="n">
        <v>25.2</v>
      </c>
      <c r="E137" s="20" t="n">
        <v>25.2</v>
      </c>
      <c r="F137" s="19" t="s">
        <v>187</v>
      </c>
      <c r="G137" s="19" t="n">
        <v>34.99</v>
      </c>
      <c r="H137" s="7" t="n">
        <f>(G137-C137)/C137</f>
        <v>0.228150228150228</v>
      </c>
      <c r="I137" s="19" t="n">
        <v>34.99</v>
      </c>
      <c r="J137" s="25" t="n">
        <f>I137-G137</f>
        <v>0</v>
      </c>
      <c r="K137" s="6" t="n">
        <f>(I137-C137)/C137</f>
        <v>0.228150228150228</v>
      </c>
      <c r="L137" s="4" t="n">
        <f>I137-G137</f>
        <v>0</v>
      </c>
    </row>
    <row r="138" ht="16.5" customHeight="1">
      <c r="A138" s="19" t="s">
        <v>141</v>
      </c>
      <c r="B138" s="20" t="s">
        <v>189</v>
      </c>
      <c r="C138" s="20" t="n">
        <v>29.49</v>
      </c>
      <c r="D138" s="20" t="n">
        <v>21.95</v>
      </c>
      <c r="E138" s="20" t="n">
        <v>21.95</v>
      </c>
      <c r="F138" s="19" t="s">
        <v>189</v>
      </c>
      <c r="G138" s="19" t="n">
        <v>30.99</v>
      </c>
      <c r="H138" s="7" t="n">
        <f>(G138-C138)/C138</f>
        <v>0.0508646998982706</v>
      </c>
      <c r="I138" s="19" t="n">
        <v>30.99</v>
      </c>
      <c r="J138" s="25" t="n">
        <f>I138-G138</f>
        <v>0</v>
      </c>
      <c r="K138" s="6" t="n">
        <f>(I138-C138)/C138</f>
        <v>0.0508646998982706</v>
      </c>
      <c r="L138" s="4" t="n">
        <f>I138-G138</f>
        <v>0</v>
      </c>
    </row>
    <row r="139" ht="16.5" customHeight="1">
      <c r="A139" s="19" t="s">
        <v>142</v>
      </c>
      <c r="B139" s="20" t="s">
        <v>187</v>
      </c>
      <c r="C139" s="20" t="n">
        <v>28.49</v>
      </c>
      <c r="D139" s="20" t="n">
        <v>25.49</v>
      </c>
      <c r="E139" s="20" t="n">
        <v>25.49</v>
      </c>
      <c r="F139" s="19" t="s">
        <v>187</v>
      </c>
      <c r="G139" s="19" t="n">
        <v>29.99</v>
      </c>
      <c r="H139" s="7" t="n">
        <f>(G139-C139)/C139</f>
        <v>0.0526500526500527</v>
      </c>
      <c r="I139" s="19" t="n">
        <v>29.99</v>
      </c>
      <c r="J139" s="25" t="n">
        <f>I139-G139</f>
        <v>0</v>
      </c>
      <c r="K139" s="6" t="n">
        <f>(I139-C139)/C139</f>
        <v>0.0526500526500527</v>
      </c>
      <c r="L139" s="4" t="n">
        <f>I139-G139</f>
        <v>0</v>
      </c>
    </row>
    <row r="140" ht="16.5" customHeight="1">
      <c r="A140" s="19" t="s">
        <v>143</v>
      </c>
      <c r="B140" s="20" t="s">
        <v>187</v>
      </c>
      <c r="C140" s="20" t="n">
        <v>28.49</v>
      </c>
      <c r="D140" s="20" t="n">
        <v>25.49</v>
      </c>
      <c r="E140" s="20" t="n">
        <v>25.49</v>
      </c>
      <c r="F140" s="19" t="s">
        <v>187</v>
      </c>
      <c r="G140" s="19" t="n">
        <v>29.99</v>
      </c>
      <c r="H140" s="7" t="n">
        <f>(G140-C140)/C140</f>
        <v>0.0526500526500527</v>
      </c>
      <c r="I140" s="19" t="n">
        <v>29.99</v>
      </c>
      <c r="J140" s="25" t="n">
        <f>I140-G140</f>
        <v>0</v>
      </c>
      <c r="K140" s="6" t="n">
        <f>(I140-C140)/C140</f>
        <v>0.0526500526500527</v>
      </c>
      <c r="L140" s="4" t="n">
        <f>I140-G140</f>
        <v>0</v>
      </c>
    </row>
    <row r="141" ht="16.5" customHeight="1">
      <c r="A141" s="19" t="s">
        <v>144</v>
      </c>
      <c r="B141" s="20" t="s">
        <v>220</v>
      </c>
      <c r="C141" s="20" t="n">
        <v>40.98</v>
      </c>
      <c r="D141" s="20" t="n">
        <v>31.18</v>
      </c>
      <c r="E141" s="20" t="n">
        <v>31.18</v>
      </c>
      <c r="F141" s="19" t="s">
        <v>220</v>
      </c>
      <c r="G141" s="19" t="n">
        <v>39.98</v>
      </c>
      <c r="H141" s="7" t="n">
        <f>(G141-C141)/C141</f>
        <v>-0.0244021473889702</v>
      </c>
      <c r="I141" s="19" t="n">
        <v>40.98</v>
      </c>
      <c r="J141" s="25" t="n">
        <f>I141-G141</f>
        <v>1</v>
      </c>
      <c r="K141" s="6" t="n">
        <f>(I141-C141)/C141</f>
        <v>0</v>
      </c>
      <c r="L141" s="4" t="n">
        <f>I141-G141</f>
        <v>1</v>
      </c>
    </row>
    <row r="142" ht="16.5" customHeight="1">
      <c r="A142" s="19" t="s">
        <v>145</v>
      </c>
      <c r="B142" s="20" t="s">
        <v>189</v>
      </c>
      <c r="C142" s="20" t="n">
        <v>29.49</v>
      </c>
      <c r="D142" s="20" t="n">
        <v>21.42</v>
      </c>
      <c r="E142" s="20" t="n">
        <v>21.42</v>
      </c>
      <c r="F142" s="19" t="s">
        <v>189</v>
      </c>
      <c r="G142" s="19" t="n">
        <v>30.99</v>
      </c>
      <c r="H142" s="7" t="n">
        <f>(G142-C142)/C142</f>
        <v>0.0508646998982706</v>
      </c>
      <c r="I142" s="19" t="n">
        <v>30.99</v>
      </c>
      <c r="J142" s="25" t="n">
        <f>I142-G142</f>
        <v>0</v>
      </c>
      <c r="K142" s="6" t="n">
        <f>(I142-C142)/C142</f>
        <v>0.0508646998982706</v>
      </c>
      <c r="L142" s="4" t="n">
        <f>I142-G142</f>
        <v>0</v>
      </c>
    </row>
    <row r="143" ht="16.5" customHeight="1">
      <c r="A143" s="19" t="s">
        <v>146</v>
      </c>
      <c r="B143" s="20" t="s">
        <v>189</v>
      </c>
      <c r="C143" s="20" t="n">
        <v>29.99</v>
      </c>
      <c r="D143" s="20" t="n">
        <v>21.59</v>
      </c>
      <c r="E143" s="20" t="n">
        <v>21.59</v>
      </c>
      <c r="F143" s="19" t="s">
        <v>189</v>
      </c>
      <c r="G143" s="19" t="n">
        <v>30.99</v>
      </c>
      <c r="H143" s="7" t="n">
        <f>(G143-C143)/C143</f>
        <v>0.0333444481493831</v>
      </c>
      <c r="I143" s="19" t="n">
        <v>30.99</v>
      </c>
      <c r="J143" s="25" t="n">
        <f>I143-G143</f>
        <v>0</v>
      </c>
      <c r="K143" s="6" t="n">
        <f>(I143-C143)/C143</f>
        <v>0.0333444481493831</v>
      </c>
      <c r="L143" s="4" t="n">
        <f>I143-G143</f>
        <v>0</v>
      </c>
    </row>
    <row r="144" ht="16.5" customHeight="1">
      <c r="A144" s="19" t="s">
        <v>147</v>
      </c>
      <c r="B144" s="20" t="s">
        <v>187</v>
      </c>
      <c r="C144" s="20" t="n">
        <v>28.49</v>
      </c>
      <c r="D144" s="20" t="n">
        <v>25.49</v>
      </c>
      <c r="E144" s="20" t="n">
        <v>25.49</v>
      </c>
      <c r="F144" s="19" t="s">
        <v>187</v>
      </c>
      <c r="G144" s="19" t="n">
        <v>29.99</v>
      </c>
      <c r="H144" s="7" t="n">
        <f>(G144-C144)/C144</f>
        <v>0.0526500526500527</v>
      </c>
      <c r="I144" s="19" t="n">
        <v>29.99</v>
      </c>
      <c r="J144" s="25" t="n">
        <f>I144-G144</f>
        <v>0</v>
      </c>
      <c r="K144" s="6" t="n">
        <f>(I144-C144)/C144</f>
        <v>0.0526500526500527</v>
      </c>
      <c r="L144" s="4" t="n">
        <f>I144-G144</f>
        <v>0</v>
      </c>
    </row>
    <row r="145" ht="16.5" customHeight="1">
      <c r="A145" s="19" t="s">
        <v>148</v>
      </c>
      <c r="B145" s="20" t="s">
        <v>221</v>
      </c>
      <c r="C145" s="20" t="n">
        <v>489.99</v>
      </c>
      <c r="D145" s="20" t="n">
        <v>443.47</v>
      </c>
      <c r="E145" s="20" t="n">
        <v>443.47</v>
      </c>
      <c r="F145" s="19" t="s">
        <v>221</v>
      </c>
      <c r="G145" s="19" t="n">
        <v>599.99</v>
      </c>
      <c r="H145" s="7" t="n">
        <f>(G145-C145)/C145</f>
        <v>0.224494377436274</v>
      </c>
      <c r="I145" s="19" t="n">
        <v>599.99</v>
      </c>
      <c r="J145" s="25" t="n">
        <f>I145-G145</f>
        <v>0</v>
      </c>
      <c r="K145" s="6" t="n">
        <f>(I145-C145)/C145</f>
        <v>0.224494377436274</v>
      </c>
      <c r="L145" s="4" t="n">
        <f>I145-G145</f>
        <v>0</v>
      </c>
    </row>
    <row r="146" ht="16.5" customHeight="1">
      <c r="A146" s="19" t="s">
        <v>149</v>
      </c>
      <c r="B146" s="20" t="s">
        <v>189</v>
      </c>
      <c r="C146" s="20" t="n">
        <v>29.99</v>
      </c>
      <c r="D146" s="20" t="n">
        <v>21.72</v>
      </c>
      <c r="E146" s="20" t="n">
        <v>21.72</v>
      </c>
      <c r="F146" s="19" t="s">
        <v>189</v>
      </c>
      <c r="G146" s="19" t="n">
        <v>30.99</v>
      </c>
      <c r="H146" s="7" t="n">
        <f>(G146-C146)/C146</f>
        <v>0.0333444481493831</v>
      </c>
      <c r="I146" s="19" t="n">
        <v>30.99</v>
      </c>
      <c r="J146" s="25" t="n">
        <f>I146-G146</f>
        <v>0</v>
      </c>
      <c r="K146" s="6" t="n">
        <f>(I146-C146)/C146</f>
        <v>0.0333444481493831</v>
      </c>
      <c r="L146" s="4" t="n">
        <f>I146-G146</f>
        <v>0</v>
      </c>
    </row>
    <row r="147" ht="16.5" customHeight="1">
      <c r="A147" s="19" t="s">
        <v>150</v>
      </c>
      <c r="B147" s="20" t="s">
        <v>187</v>
      </c>
      <c r="C147" s="20" t="n">
        <v>28.49</v>
      </c>
      <c r="D147" s="20" t="n">
        <v>25.49</v>
      </c>
      <c r="E147" s="20" t="n">
        <v>25.49</v>
      </c>
      <c r="F147" s="19" t="s">
        <v>187</v>
      </c>
      <c r="G147" s="19" t="n">
        <v>29.99</v>
      </c>
      <c r="H147" s="7" t="n">
        <f>(G147-C147)/C147</f>
        <v>0.0526500526500527</v>
      </c>
      <c r="I147" s="19" t="n">
        <v>29.99</v>
      </c>
      <c r="J147" s="25" t="n">
        <f>I147-G147</f>
        <v>0</v>
      </c>
      <c r="K147" s="6" t="n">
        <f>(I147-C147)/C147</f>
        <v>0.0526500526500527</v>
      </c>
      <c r="L147" s="4" t="n">
        <f>I147-G147</f>
        <v>0</v>
      </c>
    </row>
    <row r="148" ht="16.5" customHeight="1">
      <c r="A148" s="19" t="s">
        <v>151</v>
      </c>
      <c r="B148" s="20" t="s">
        <v>187</v>
      </c>
      <c r="C148" s="20" t="n">
        <v>28.49</v>
      </c>
      <c r="D148" s="20" t="n">
        <v>25.49</v>
      </c>
      <c r="E148" s="20" t="n">
        <v>25.49</v>
      </c>
      <c r="F148" s="19" t="s">
        <v>187</v>
      </c>
      <c r="G148" s="19" t="n">
        <v>29.99</v>
      </c>
      <c r="H148" s="7" t="n">
        <f>(G148-C148)/C148</f>
        <v>0.0526500526500527</v>
      </c>
      <c r="I148" s="19" t="n">
        <v>29.99</v>
      </c>
      <c r="J148" s="25" t="n">
        <f>I148-G148</f>
        <v>0</v>
      </c>
      <c r="K148" s="6" t="n">
        <f>(I148-C148)/C148</f>
        <v>0.0526500526500527</v>
      </c>
      <c r="L148" s="4" t="n">
        <f>I148-G148</f>
        <v>0</v>
      </c>
    </row>
    <row r="149" ht="16.5" customHeight="1">
      <c r="A149" s="19" t="s">
        <v>152</v>
      </c>
      <c r="B149" s="20" t="s">
        <v>187</v>
      </c>
      <c r="C149" s="20" t="n">
        <v>28.49</v>
      </c>
      <c r="D149" s="20" t="n">
        <v>25.49</v>
      </c>
      <c r="E149" s="20" t="n">
        <v>25.49</v>
      </c>
      <c r="F149" s="19" t="s">
        <v>187</v>
      </c>
      <c r="G149" s="19" t="n">
        <v>29.99</v>
      </c>
      <c r="H149" s="7" t="n">
        <f>(G149-C149)/C149</f>
        <v>0.0526500526500527</v>
      </c>
      <c r="I149" s="19" t="n">
        <v>29.99</v>
      </c>
      <c r="J149" s="25" t="n">
        <f>I149-G149</f>
        <v>0</v>
      </c>
      <c r="K149" s="6" t="n">
        <f>(I149-C149)/C149</f>
        <v>0.0526500526500527</v>
      </c>
      <c r="L149" s="4" t="n">
        <f>I149-G149</f>
        <v>0</v>
      </c>
    </row>
    <row r="150" ht="16.5" customHeight="1">
      <c r="A150" s="19" t="s">
        <v>153</v>
      </c>
      <c r="B150" s="20" t="s">
        <v>187</v>
      </c>
      <c r="C150" s="20" t="n">
        <v>28.49</v>
      </c>
      <c r="D150" s="20" t="n">
        <v>25.49</v>
      </c>
      <c r="E150" s="20" t="n">
        <v>25.49</v>
      </c>
      <c r="F150" s="19" t="s">
        <v>187</v>
      </c>
      <c r="G150" s="19" t="n">
        <v>29.99</v>
      </c>
      <c r="H150" s="7" t="n">
        <f>(G150-C150)/C150</f>
        <v>0.0526500526500527</v>
      </c>
      <c r="I150" s="19" t="n">
        <v>29.99</v>
      </c>
      <c r="J150" s="25" t="n">
        <f>I150-G150</f>
        <v>0</v>
      </c>
      <c r="K150" s="6" t="n">
        <f>(I150-C150)/C150</f>
        <v>0.0526500526500527</v>
      </c>
      <c r="L150" s="4" t="n">
        <f>I150-G150</f>
        <v>0</v>
      </c>
    </row>
    <row r="151" ht="16.5" customHeight="1">
      <c r="A151" s="19" t="s">
        <v>154</v>
      </c>
      <c r="B151" s="20" t="s">
        <v>187</v>
      </c>
      <c r="C151" s="20" t="n">
        <v>28.49</v>
      </c>
      <c r="D151" s="20" t="n">
        <v>23.17</v>
      </c>
      <c r="E151" s="20" t="n">
        <v>23.17</v>
      </c>
      <c r="F151" s="19" t="s">
        <v>187</v>
      </c>
      <c r="G151" s="19" t="n">
        <v>29.99</v>
      </c>
      <c r="H151" s="7" t="n">
        <f>(G151-C151)/C151</f>
        <v>0.0526500526500527</v>
      </c>
      <c r="I151" s="19" t="n">
        <v>29.99</v>
      </c>
      <c r="J151" s="25" t="n">
        <f>I151-G151</f>
        <v>0</v>
      </c>
      <c r="K151" s="6" t="n">
        <f>(I151-C151)/C151</f>
        <v>0.0526500526500527</v>
      </c>
      <c r="L151" s="4" t="n">
        <f>I151-G151</f>
        <v>0</v>
      </c>
    </row>
    <row r="152" ht="16.5" customHeight="1">
      <c r="A152" s="19" t="s">
        <v>155</v>
      </c>
      <c r="B152" s="20" t="s">
        <v>222</v>
      </c>
      <c r="C152" s="20" t="n">
        <v>305</v>
      </c>
      <c r="D152" s="20" t="n">
        <v>271.32</v>
      </c>
      <c r="E152" s="20" t="n">
        <v>271.32</v>
      </c>
      <c r="F152" s="19" t="s">
        <v>222</v>
      </c>
      <c r="G152" s="19" t="n">
        <v>399</v>
      </c>
      <c r="H152" s="7" t="n">
        <f>(G152-C152)/C152</f>
        <v>0.308196721311475</v>
      </c>
      <c r="I152" s="19" t="n">
        <v>399</v>
      </c>
      <c r="J152" s="25" t="n">
        <f>I152-G152</f>
        <v>0</v>
      </c>
      <c r="K152" s="6" t="n">
        <f>(I152-C152)/C152</f>
        <v>0.308196721311475</v>
      </c>
      <c r="L152" s="4" t="n">
        <f>I152-G152</f>
        <v>0</v>
      </c>
    </row>
    <row r="153" ht="16.5" customHeight="1">
      <c r="A153" s="19" t="s">
        <v>156</v>
      </c>
      <c r="B153" s="20" t="s">
        <v>223</v>
      </c>
      <c r="C153" s="20" t="n">
        <v>28.5</v>
      </c>
      <c r="D153" s="20" t="n">
        <v>23.59</v>
      </c>
      <c r="E153" s="20" t="n">
        <v>23.59</v>
      </c>
      <c r="F153" s="19" t="s">
        <v>223</v>
      </c>
      <c r="G153" s="19" t="n">
        <v>30</v>
      </c>
      <c r="H153" s="7" t="n">
        <f>(G153-C153)/C153</f>
        <v>0.0526315789473684</v>
      </c>
      <c r="I153" s="19" t="n">
        <v>30</v>
      </c>
      <c r="J153" s="25" t="n">
        <f>I153-G153</f>
        <v>0</v>
      </c>
      <c r="K153" s="6" t="n">
        <f>(I153-C153)/C153</f>
        <v>0.0526315789473684</v>
      </c>
      <c r="L153" s="4" t="n">
        <f>I153-G153</f>
        <v>0</v>
      </c>
    </row>
    <row r="154" ht="16.5" customHeight="1">
      <c r="A154" s="19" t="s">
        <v>157</v>
      </c>
      <c r="B154" s="20" t="s">
        <v>224</v>
      </c>
      <c r="C154" s="20" t="n">
        <v>860</v>
      </c>
      <c r="D154" s="20" t="n">
        <v>777</v>
      </c>
      <c r="E154" s="20" t="n">
        <v>777</v>
      </c>
      <c r="F154" s="19" t="s">
        <v>224</v>
      </c>
      <c r="G154" s="19" t="n">
        <v>990</v>
      </c>
      <c r="H154" s="7" t="n">
        <f>(G154-C154)/C154</f>
        <v>0.151162790697674</v>
      </c>
      <c r="I154" s="19" t="n">
        <v>990</v>
      </c>
      <c r="J154" s="25" t="n">
        <f>I154-G154</f>
        <v>0</v>
      </c>
      <c r="K154" s="6" t="n">
        <f>(I154-C154)/C154</f>
        <v>0.151162790697674</v>
      </c>
      <c r="L154" s="4" t="n">
        <f>I154-G154</f>
        <v>0</v>
      </c>
    </row>
    <row r="155" ht="16.5" customHeight="1">
      <c r="A155" s="19" t="s">
        <v>158</v>
      </c>
      <c r="B155" s="20" t="s">
        <v>187</v>
      </c>
      <c r="C155" s="20" t="n">
        <v>32.99</v>
      </c>
      <c r="D155" s="20" t="n">
        <v>22.36</v>
      </c>
      <c r="E155" s="20" t="n">
        <v>22.36</v>
      </c>
      <c r="F155" s="19" t="s">
        <v>187</v>
      </c>
      <c r="G155" s="19" t="n">
        <v>29.99</v>
      </c>
      <c r="H155" s="7" t="n">
        <f>(G155-C155)/C155</f>
        <v>-0.09093664746893</v>
      </c>
      <c r="I155" s="19" t="n">
        <v>32.99</v>
      </c>
      <c r="J155" s="25" t="n">
        <f>I155-G155</f>
        <v>3</v>
      </c>
      <c r="K155" s="6" t="n">
        <f>(I155-C155)/C155</f>
        <v>0</v>
      </c>
      <c r="L155" s="4" t="n">
        <f>I155-G155</f>
        <v>3</v>
      </c>
    </row>
    <row r="156" ht="16.5" customHeight="1">
      <c r="A156" s="19" t="s">
        <v>159</v>
      </c>
      <c r="B156" s="20" t="s">
        <v>225</v>
      </c>
      <c r="C156" s="20" t="n">
        <v>65900</v>
      </c>
      <c r="D156" s="20" t="n">
        <v>63463.31</v>
      </c>
      <c r="E156" s="20" t="n">
        <v>63463.31</v>
      </c>
      <c r="F156" s="19" t="s">
        <v>225</v>
      </c>
      <c r="G156" s="19" t="n">
        <v>89900</v>
      </c>
      <c r="H156" s="7" t="n">
        <f>(G156-C156)/C156</f>
        <v>0.364188163884674</v>
      </c>
      <c r="I156" s="19" t="n">
        <v>89900</v>
      </c>
      <c r="J156" s="25" t="n">
        <f>I156-G156</f>
        <v>0</v>
      </c>
      <c r="K156" s="6" t="n">
        <f>(I156-C156)/C156</f>
        <v>0.364188163884674</v>
      </c>
      <c r="L156" s="4" t="n">
        <f>I156-G156</f>
        <v>0</v>
      </c>
    </row>
    <row r="157" ht="16.5" customHeight="1">
      <c r="A157" s="19" t="s">
        <v>160</v>
      </c>
      <c r="B157" s="20" t="s">
        <v>226</v>
      </c>
      <c r="C157" s="20" t="n">
        <v>1020</v>
      </c>
      <c r="D157" s="20" t="n">
        <v>793.6</v>
      </c>
      <c r="E157" s="20" t="n">
        <v>793.6</v>
      </c>
      <c r="F157" s="19" t="s">
        <v>226</v>
      </c>
      <c r="G157" s="19" t="n">
        <v>999</v>
      </c>
      <c r="H157" s="7" t="n">
        <f>(G157-C157)/C157</f>
        <v>-0.0205882352941176</v>
      </c>
      <c r="I157" s="19" t="n">
        <v>1020</v>
      </c>
      <c r="J157" s="25" t="n">
        <f>I157-G157</f>
        <v>21</v>
      </c>
      <c r="K157" s="6" t="n">
        <f>(I157-C157)/C157</f>
        <v>0</v>
      </c>
      <c r="L157" s="4" t="n">
        <f>I157-G157</f>
        <v>21</v>
      </c>
    </row>
    <row r="158" ht="16.5" customHeight="1">
      <c r="A158" s="19" t="s">
        <v>161</v>
      </c>
      <c r="B158" s="20" t="s">
        <v>187</v>
      </c>
      <c r="C158" s="20" t="n">
        <v>28.49</v>
      </c>
      <c r="D158" s="20" t="n">
        <v>25.49</v>
      </c>
      <c r="E158" s="20" t="n">
        <v>25.49</v>
      </c>
      <c r="F158" s="19" t="s">
        <v>187</v>
      </c>
      <c r="G158" s="19" t="n">
        <v>29.99</v>
      </c>
      <c r="H158" s="7" t="n">
        <f>(G158-C158)/C158</f>
        <v>0.0526500526500527</v>
      </c>
      <c r="I158" s="19" t="n">
        <v>29.99</v>
      </c>
      <c r="J158" s="25" t="n">
        <f>I158-G158</f>
        <v>0</v>
      </c>
      <c r="K158" s="6" t="n">
        <f>(I158-C158)/C158</f>
        <v>0.0526500526500527</v>
      </c>
      <c r="L158" s="4" t="n">
        <f>I158-G158</f>
        <v>0</v>
      </c>
    </row>
    <row r="159" ht="16.5" customHeight="1">
      <c r="A159" s="19" t="s">
        <v>162</v>
      </c>
      <c r="B159" s="20" t="s">
        <v>187</v>
      </c>
      <c r="C159" s="20" t="n">
        <v>28.49</v>
      </c>
      <c r="D159" s="20" t="n">
        <v>25.49</v>
      </c>
      <c r="E159" s="20" t="n">
        <v>25.49</v>
      </c>
      <c r="F159" s="19" t="s">
        <v>187</v>
      </c>
      <c r="G159" s="19" t="n">
        <v>29.99</v>
      </c>
      <c r="H159" s="7" t="n">
        <f>(G159-C159)/C159</f>
        <v>0.0526500526500527</v>
      </c>
      <c r="I159" s="19" t="n">
        <v>29.99</v>
      </c>
      <c r="J159" s="25" t="n">
        <f>I159-G159</f>
        <v>0</v>
      </c>
      <c r="K159" s="6" t="n">
        <f>(I159-C159)/C159</f>
        <v>0.0526500526500527</v>
      </c>
      <c r="L159" s="4" t="n">
        <f>I159-G159</f>
        <v>0</v>
      </c>
    </row>
    <row r="160" ht="16.5" customHeight="1">
      <c r="A160" s="19" t="s">
        <v>163</v>
      </c>
      <c r="B160" s="20" t="s">
        <v>187</v>
      </c>
      <c r="C160" s="20" t="n">
        <v>28.49</v>
      </c>
      <c r="D160" s="20" t="n">
        <v>25.49</v>
      </c>
      <c r="E160" s="20" t="n">
        <v>25.49</v>
      </c>
      <c r="F160" s="19" t="s">
        <v>187</v>
      </c>
      <c r="G160" s="19" t="n">
        <v>29.99</v>
      </c>
      <c r="H160" s="7" t="n">
        <f>(G160-C160)/C160</f>
        <v>0.0526500526500527</v>
      </c>
      <c r="I160" s="19" t="n">
        <v>29.99</v>
      </c>
      <c r="J160" s="25" t="n">
        <f>I160-G160</f>
        <v>0</v>
      </c>
      <c r="K160" s="6" t="n">
        <f>(I160-C160)/C160</f>
        <v>0.0526500526500527</v>
      </c>
      <c r="L160" s="4" t="n">
        <f>I160-G160</f>
        <v>0</v>
      </c>
    </row>
    <row r="161" ht="16.5" customHeight="1">
      <c r="A161" s="19" t="s">
        <v>164</v>
      </c>
      <c r="B161" s="20" t="s">
        <v>227</v>
      </c>
      <c r="C161" s="20" t="n">
        <v>349.99</v>
      </c>
      <c r="D161" s="20" t="n">
        <v>851.76</v>
      </c>
      <c r="E161" s="20" t="n">
        <v>851.76</v>
      </c>
      <c r="F161" s="19" t="s">
        <v>227</v>
      </c>
      <c r="G161" s="19" t="n">
        <v>1299.99</v>
      </c>
      <c r="H161" s="7" t="n">
        <f>(G161-C161)/C161</f>
        <v>2.71436326752193</v>
      </c>
      <c r="I161" s="19" t="n">
        <v>1299.99</v>
      </c>
      <c r="J161" s="25" t="n">
        <f>I161-G161</f>
        <v>0</v>
      </c>
      <c r="K161" s="6" t="n">
        <f>(I161-C161)/C161</f>
        <v>2.71436326752193</v>
      </c>
      <c r="L161" s="4" t="n">
        <f>I161-G161</f>
        <v>0</v>
      </c>
    </row>
    <row r="162" ht="16.5" customHeight="1">
      <c r="A162" s="19" t="s">
        <v>165</v>
      </c>
      <c r="B162" s="20" t="s">
        <v>187</v>
      </c>
      <c r="C162" s="20" t="n">
        <v>28.49</v>
      </c>
      <c r="D162" s="20" t="n">
        <v>25.49</v>
      </c>
      <c r="E162" s="20" t="n">
        <v>25.49</v>
      </c>
      <c r="F162" s="19" t="s">
        <v>187</v>
      </c>
      <c r="G162" s="19" t="n">
        <v>29.99</v>
      </c>
      <c r="H162" s="7" t="n">
        <f>(G162-C162)/C162</f>
        <v>0.0526500526500527</v>
      </c>
      <c r="I162" s="19" t="n">
        <v>29.99</v>
      </c>
      <c r="J162" s="25" t="n">
        <f>I162-G162</f>
        <v>0</v>
      </c>
      <c r="K162" s="6" t="n">
        <f>(I162-C162)/C162</f>
        <v>0.0526500526500527</v>
      </c>
      <c r="L162" s="4" t="n">
        <f>I162-G162</f>
        <v>0</v>
      </c>
    </row>
    <row r="163" ht="16.5" customHeight="1">
      <c r="A163" s="19" t="s">
        <v>166</v>
      </c>
      <c r="B163" s="20" t="s">
        <v>187</v>
      </c>
      <c r="C163" s="20" t="n">
        <v>28.49</v>
      </c>
      <c r="D163" s="20" t="n">
        <v>25.49</v>
      </c>
      <c r="E163" s="20" t="n">
        <v>25.49</v>
      </c>
      <c r="F163" s="19" t="s">
        <v>187</v>
      </c>
      <c r="G163" s="19" t="n">
        <v>29.99</v>
      </c>
      <c r="H163" s="7" t="n">
        <f>(G163-C163)/C163</f>
        <v>0.0526500526500527</v>
      </c>
      <c r="I163" s="19" t="n">
        <v>29.99</v>
      </c>
      <c r="J163" s="25" t="n">
        <f>I163-G163</f>
        <v>0</v>
      </c>
      <c r="K163" s="6" t="n">
        <f>(I163-C163)/C163</f>
        <v>0.0526500526500527</v>
      </c>
      <c r="L163" s="4" t="n">
        <f>I163-G163</f>
        <v>0</v>
      </c>
    </row>
    <row r="164" ht="16.5" customHeight="1">
      <c r="A164" s="19" t="s">
        <v>167</v>
      </c>
      <c r="B164" s="20" t="s">
        <v>187</v>
      </c>
      <c r="C164" s="20" t="n">
        <v>33.99</v>
      </c>
      <c r="D164" s="20" t="n">
        <v>23.94</v>
      </c>
      <c r="E164" s="20" t="n">
        <v>23.94</v>
      </c>
      <c r="F164" s="19" t="s">
        <v>187</v>
      </c>
      <c r="G164" s="19" t="n">
        <v>34.99</v>
      </c>
      <c r="H164" s="7" t="n">
        <f>(G164-C164)/C164</f>
        <v>0.0294204177699323</v>
      </c>
      <c r="I164" s="19" t="n">
        <v>34.99</v>
      </c>
      <c r="J164" s="25" t="n">
        <f>I164-G164</f>
        <v>0</v>
      </c>
      <c r="K164" s="6" t="n">
        <f>(I164-C164)/C164</f>
        <v>0.0294204177699323</v>
      </c>
      <c r="L164" s="4" t="n">
        <f>I164-G164</f>
        <v>0</v>
      </c>
    </row>
    <row r="165" ht="16.5" customHeight="1">
      <c r="A165" s="19" t="s">
        <v>168</v>
      </c>
      <c r="B165" s="20" t="s">
        <v>187</v>
      </c>
      <c r="C165" s="20" t="n">
        <v>33.99</v>
      </c>
      <c r="D165" s="20" t="n">
        <v>24.78</v>
      </c>
      <c r="E165" s="20" t="n">
        <v>24.78</v>
      </c>
      <c r="F165" s="19" t="s">
        <v>187</v>
      </c>
      <c r="G165" s="19" t="n">
        <v>34.99</v>
      </c>
      <c r="H165" s="7" t="n">
        <f>(G165-C165)/C165</f>
        <v>0.0294204177699323</v>
      </c>
      <c r="I165" s="19" t="n">
        <v>34.99</v>
      </c>
      <c r="J165" s="25" t="n">
        <f>I165-G165</f>
        <v>0</v>
      </c>
      <c r="K165" s="6" t="n">
        <f>(I165-C165)/C165</f>
        <v>0.0294204177699323</v>
      </c>
      <c r="L165" s="4" t="n">
        <f>I165-G165</f>
        <v>0</v>
      </c>
    </row>
    <row r="166" ht="16.5" customHeight="1">
      <c r="A166" s="19" t="s">
        <v>169</v>
      </c>
      <c r="B166" s="20" t="s">
        <v>228</v>
      </c>
      <c r="C166" s="20" t="n">
        <v>109.99</v>
      </c>
      <c r="D166" s="20" t="n">
        <v>97.13</v>
      </c>
      <c r="E166" s="20" t="n">
        <v>97.13</v>
      </c>
      <c r="F166" s="19" t="s">
        <v>228</v>
      </c>
      <c r="G166" s="19" t="n">
        <v>119.99</v>
      </c>
      <c r="H166" s="7" t="n">
        <f>(G166-C166)/C166</f>
        <v>0.0909173561232839</v>
      </c>
      <c r="I166" s="19" t="n">
        <v>119.99</v>
      </c>
      <c r="J166" s="25" t="n">
        <f>I166-G166</f>
        <v>0</v>
      </c>
      <c r="K166" s="6" t="n">
        <f>(I166-C166)/C166</f>
        <v>0.0909173561232839</v>
      </c>
      <c r="L166" s="4" t="n">
        <f>I166-G166</f>
        <v>0</v>
      </c>
    </row>
    <row r="167" ht="16.5" customHeight="1">
      <c r="A167" s="19" t="s">
        <v>170</v>
      </c>
      <c r="B167" s="20" t="s">
        <v>229</v>
      </c>
      <c r="C167" s="20" t="n">
        <v>24.99</v>
      </c>
      <c r="D167" s="20" t="n">
        <v>21.18</v>
      </c>
      <c r="E167" s="20" t="n">
        <v>21.18</v>
      </c>
      <c r="F167" s="19" t="s">
        <v>229</v>
      </c>
      <c r="G167" s="19" t="n">
        <v>29.99</v>
      </c>
      <c r="H167" s="7" t="n">
        <f>(G167-C167)/C167</f>
        <v>0.200080032012805</v>
      </c>
      <c r="I167" s="19" t="n">
        <v>29.99</v>
      </c>
      <c r="J167" s="25" t="n">
        <f>I167-G167</f>
        <v>0</v>
      </c>
      <c r="K167" s="6" t="n">
        <f>(I167-C167)/C167</f>
        <v>0.200080032012805</v>
      </c>
      <c r="L167" s="4" t="n">
        <f>I167-G167</f>
        <v>0</v>
      </c>
    </row>
    <row r="168" ht="16.5" customHeight="1">
      <c r="A168" s="19" t="s">
        <v>171</v>
      </c>
      <c r="B168" s="20" t="s">
        <v>187</v>
      </c>
      <c r="C168" s="20" t="n">
        <v>28.49</v>
      </c>
      <c r="D168" s="20" t="n">
        <v>25.49</v>
      </c>
      <c r="E168" s="20" t="n">
        <v>25.49</v>
      </c>
      <c r="F168" s="19" t="s">
        <v>187</v>
      </c>
      <c r="G168" s="19" t="n">
        <v>29.99</v>
      </c>
      <c r="H168" s="7" t="n">
        <f>(G168-C168)/C168</f>
        <v>0.0526500526500527</v>
      </c>
      <c r="I168" s="19" t="n">
        <v>29.99</v>
      </c>
      <c r="J168" s="25" t="n">
        <f>I168-G168</f>
        <v>0</v>
      </c>
      <c r="K168" s="6" t="n">
        <f>(I168-C168)/C168</f>
        <v>0.0526500526500527</v>
      </c>
      <c r="L168" s="4" t="n">
        <f>I168-G168</f>
        <v>0</v>
      </c>
    </row>
    <row r="169" ht="16.5" customHeight="1">
      <c r="A169" s="19" t="s">
        <v>172</v>
      </c>
      <c r="B169" s="20" t="s">
        <v>187</v>
      </c>
      <c r="C169" s="20" t="n">
        <v>29.49</v>
      </c>
      <c r="D169" s="20" t="n">
        <v>25.08</v>
      </c>
      <c r="E169" s="20" t="n">
        <v>25.08</v>
      </c>
      <c r="F169" s="19" t="s">
        <v>187</v>
      </c>
      <c r="G169" s="19" t="n">
        <v>29.99</v>
      </c>
      <c r="H169" s="7" t="n">
        <f>(G169-C169)/C169</f>
        <v>0.0169548999660902</v>
      </c>
      <c r="I169" s="19" t="n">
        <v>29.99</v>
      </c>
      <c r="J169" s="25" t="n">
        <f>I169-G169</f>
        <v>0</v>
      </c>
      <c r="K169" s="6" t="n">
        <f>(I169-C169)/C169</f>
        <v>0.0169548999660902</v>
      </c>
      <c r="L169" s="4" t="n">
        <f>I169-G169</f>
        <v>0</v>
      </c>
    </row>
    <row r="170" ht="16.5" customHeight="1">
      <c r="A170" s="19" t="s">
        <v>173</v>
      </c>
      <c r="B170" s="20" t="s">
        <v>187</v>
      </c>
      <c r="C170" s="20" t="n">
        <v>32.99</v>
      </c>
      <c r="D170" s="20" t="n">
        <v>22.76</v>
      </c>
      <c r="E170" s="20" t="n">
        <v>22.76</v>
      </c>
      <c r="F170" s="19" t="s">
        <v>187</v>
      </c>
      <c r="G170" s="19" t="n">
        <v>29.99</v>
      </c>
      <c r="H170" s="7" t="n">
        <f>(G170-C170)/C170</f>
        <v>-0.09093664746893</v>
      </c>
      <c r="I170" s="19" t="n">
        <v>32.99</v>
      </c>
      <c r="J170" s="25" t="n">
        <f>I170-G170</f>
        <v>3</v>
      </c>
      <c r="K170" s="6" t="n">
        <f>(I170-C170)/C170</f>
        <v>0</v>
      </c>
      <c r="L170" s="4" t="n">
        <f>I170-G170</f>
        <v>3</v>
      </c>
    </row>
    <row r="171" ht="16.5" customHeight="1">
      <c r="A171" s="19" t="s">
        <v>174</v>
      </c>
      <c r="B171" s="20" t="s">
        <v>187</v>
      </c>
      <c r="C171" s="20" t="n">
        <v>28.49</v>
      </c>
      <c r="D171" s="20" t="n">
        <v>25.49</v>
      </c>
      <c r="E171" s="20" t="n">
        <v>25.49</v>
      </c>
      <c r="F171" s="19" t="s">
        <v>187</v>
      </c>
      <c r="G171" s="19" t="n">
        <v>29.99</v>
      </c>
      <c r="H171" s="7" t="n">
        <f>(G171-C171)/C171</f>
        <v>0.0526500526500527</v>
      </c>
      <c r="I171" s="19" t="n">
        <v>29.99</v>
      </c>
      <c r="J171" s="25" t="n">
        <f>I171-G171</f>
        <v>0</v>
      </c>
      <c r="K171" s="6" t="n">
        <f>(I171-C171)/C171</f>
        <v>0.0526500526500527</v>
      </c>
      <c r="L171" s="4" t="n">
        <f>I171-G171</f>
        <v>0</v>
      </c>
    </row>
    <row r="172" ht="16.5" customHeight="1">
      <c r="A172" s="19" t="s">
        <v>175</v>
      </c>
      <c r="B172" s="20" t="s">
        <v>187</v>
      </c>
      <c r="C172" s="20" t="n">
        <v>28.49</v>
      </c>
      <c r="D172" s="20" t="n">
        <v>25.49</v>
      </c>
      <c r="E172" s="20" t="n">
        <v>25.49</v>
      </c>
      <c r="F172" s="19" t="s">
        <v>187</v>
      </c>
      <c r="G172" s="19" t="n">
        <v>29.99</v>
      </c>
      <c r="H172" s="7" t="n">
        <f>(G172-C172)/C172</f>
        <v>0.0526500526500527</v>
      </c>
      <c r="I172" s="19" t="n">
        <v>29.99</v>
      </c>
      <c r="J172" s="25" t="n">
        <f>I172-G172</f>
        <v>0</v>
      </c>
      <c r="K172" s="6" t="n">
        <f>(I172-C172)/C172</f>
        <v>0.0526500526500527</v>
      </c>
      <c r="L172" s="4" t="n">
        <f>I172-G172</f>
        <v>0</v>
      </c>
    </row>
    <row r="173" ht="16.5" customHeight="1">
      <c r="A173" s="19" t="s">
        <v>176</v>
      </c>
      <c r="B173" s="20" t="s">
        <v>230</v>
      </c>
      <c r="C173" s="20" t="n">
        <v>719000</v>
      </c>
      <c r="D173" s="20" t="n">
        <v>611235</v>
      </c>
      <c r="E173" s="20" t="n">
        <v>611235</v>
      </c>
      <c r="F173" s="19" t="s">
        <v>230</v>
      </c>
      <c r="G173" s="19" t="n">
        <v>799000</v>
      </c>
      <c r="H173" s="7" t="n">
        <f>(G173-C173)/C173</f>
        <v>0.111265646731572</v>
      </c>
      <c r="I173" s="19" t="n">
        <v>799000</v>
      </c>
      <c r="J173" s="25" t="n">
        <f>I173-G173</f>
        <v>0</v>
      </c>
      <c r="K173" s="6" t="n">
        <f>(I173-C173)/C173</f>
        <v>0.111265646731572</v>
      </c>
      <c r="L173" s="4" t="n">
        <f>I173-G173</f>
        <v>0</v>
      </c>
    </row>
    <row r="174" ht="16.5" customHeight="1">
      <c r="A174" s="19" t="s">
        <v>177</v>
      </c>
      <c r="B174" s="20" t="s">
        <v>187</v>
      </c>
      <c r="C174" s="20" t="n">
        <v>28.49</v>
      </c>
      <c r="D174" s="20" t="n">
        <v>25.49</v>
      </c>
      <c r="E174" s="20" t="n">
        <v>25.49</v>
      </c>
      <c r="F174" s="19" t="s">
        <v>187</v>
      </c>
      <c r="G174" s="19" t="n">
        <v>29.99</v>
      </c>
      <c r="H174" s="7" t="n">
        <f>(G174-C174)/C174</f>
        <v>0.0526500526500527</v>
      </c>
      <c r="I174" s="19" t="n">
        <v>29.99</v>
      </c>
      <c r="J174" s="25" t="n">
        <f>I174-G174</f>
        <v>0</v>
      </c>
      <c r="K174" s="6" t="n">
        <f>(I174-C174)/C174</f>
        <v>0.0526500526500527</v>
      </c>
      <c r="L174" s="4" t="n">
        <f>I174-G174</f>
        <v>0</v>
      </c>
    </row>
    <row r="175" ht="16.5" customHeight="1">
      <c r="A175" s="19" t="s">
        <v>178</v>
      </c>
      <c r="B175" s="20" t="s">
        <v>187</v>
      </c>
      <c r="C175" s="20" t="n">
        <v>28.49</v>
      </c>
      <c r="D175" s="20" t="n">
        <v>25.64</v>
      </c>
      <c r="E175" s="20" t="n">
        <v>25.64</v>
      </c>
      <c r="F175" s="19" t="s">
        <v>187</v>
      </c>
      <c r="G175" s="19" t="n">
        <v>34.99</v>
      </c>
      <c r="H175" s="7" t="n">
        <f>(G175-C175)/C175</f>
        <v>0.228150228150228</v>
      </c>
      <c r="I175" s="19" t="n">
        <v>34.99</v>
      </c>
      <c r="J175" s="25" t="n">
        <f>I175-G175</f>
        <v>0</v>
      </c>
      <c r="K175" s="6" t="n">
        <f>(I175-C175)/C175</f>
        <v>0.228150228150228</v>
      </c>
      <c r="L175" s="4" t="n">
        <f>I175-G175</f>
        <v>0</v>
      </c>
    </row>
    <row r="176" ht="16.5" customHeight="1">
      <c r="A176" s="19" t="s">
        <v>179</v>
      </c>
      <c r="B176" s="20" t="s">
        <v>187</v>
      </c>
      <c r="C176" s="20" t="n">
        <v>33.99</v>
      </c>
      <c r="D176" s="20" t="n">
        <v>24.57</v>
      </c>
      <c r="E176" s="20" t="n">
        <v>24.57</v>
      </c>
      <c r="F176" s="19" t="s">
        <v>187</v>
      </c>
      <c r="G176" s="19" t="n">
        <v>34.99</v>
      </c>
      <c r="H176" s="7" t="n">
        <f>(G176-C176)/C176</f>
        <v>0.0294204177699323</v>
      </c>
      <c r="I176" s="19" t="n">
        <v>34.99</v>
      </c>
      <c r="J176" s="25" t="n">
        <f>I176-G176</f>
        <v>0</v>
      </c>
      <c r="K176" s="6" t="n">
        <f>(I176-C176)/C176</f>
        <v>0.0294204177699323</v>
      </c>
      <c r="L176" s="4" t="n">
        <f>I176-G176</f>
        <v>0</v>
      </c>
    </row>
  </sheetData>
  <phoneticPr fontId="1" type="noConversion"/>
  <conditionalFormatting sqref="H2:H176">
    <cfRule priority="1" type="cellIs" operator="lessThan" dxfId="0">
      <formula>0</formula>
    </cfRule>
  </conditionalFormatting>
  <conditionalFormatting sqref="H2:H176">
    <cfRule priority="2" type="cellIs" operator="greaterThan" dxfId="1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6.3232421875"/>
    <col min="2" max="2" width="12.052734375"/>
    <col min="3" max="3" width="12.052734375" style="9"/>
    <col min="4" max="5" width="13.078125" style="9"/>
    <col min="6" max="6" width="12.052734375"/>
    <col min="7" max="7" width="18.28125" style="8"/>
    <col min="8" max="8" width="12.3837890625"/>
    <col min="10" max="10" width="14.30859375" style="8"/>
    <col min="11" max="11" width="12.3837890625"/>
  </cols>
  <sheetData>
    <row r="1" ht="16.5" customHeight="1">
      <c r="A1" s="13" t="s">
        <v>0</v>
      </c>
      <c r="B1" s="13" t="s">
        <v>180</v>
      </c>
      <c r="C1" s="14" t="s">
        <v>231</v>
      </c>
      <c r="D1" s="14" t="s">
        <v>182</v>
      </c>
      <c r="E1" s="14" t="s">
        <v>183</v>
      </c>
      <c r="F1" s="13" t="s">
        <v>180</v>
      </c>
      <c r="G1" s="15" t="s">
        <v>232</v>
      </c>
      <c r="H1" s="17" t="s">
        <v>185</v>
      </c>
      <c r="I1" s="10" t="s">
        <v>180</v>
      </c>
      <c r="J1" s="16" t="s">
        <v>233</v>
      </c>
      <c r="K1" s="17" t="s">
        <v>185</v>
      </c>
    </row>
    <row r="2" ht="16.5" customHeight="1">
      <c r="A2" s="21" t="s">
        <v>5</v>
      </c>
      <c r="B2" s="19" t="s">
        <v>187</v>
      </c>
      <c r="C2" s="20" t="n">
        <v>4.49</v>
      </c>
      <c r="D2" s="20" t="n">
        <v>3.82</v>
      </c>
      <c r="E2" s="20" t="n">
        <v>3.82</v>
      </c>
      <c r="F2" s="19" t="s">
        <v>187</v>
      </c>
      <c r="G2" s="23" t="n">
        <v>3.99</v>
      </c>
      <c r="H2" s="19" t="n">
        <f>G2-C2</f>
        <v>-0.5</v>
      </c>
      <c r="I2" s="11" t="s">
        <v>187</v>
      </c>
      <c r="J2" s="18" t="n">
        <v>4.49</v>
      </c>
      <c r="K2" s="19" t="n">
        <f>J2-C2</f>
        <v>0</v>
      </c>
      <c r="L2" s="26" t="n">
        <f>(J2-C2)/C2</f>
        <v>0</v>
      </c>
    </row>
    <row r="3" ht="16.5" customHeight="1">
      <c r="A3" s="21" t="s">
        <v>6</v>
      </c>
      <c r="B3" s="19" t="s">
        <v>187</v>
      </c>
      <c r="C3" s="20" t="n">
        <v>5.39</v>
      </c>
      <c r="D3" s="20" t="n">
        <v>3.82</v>
      </c>
      <c r="E3" s="20" t="n">
        <v>3.82</v>
      </c>
      <c r="F3" s="19" t="s">
        <v>187</v>
      </c>
      <c r="G3" s="23" t="n">
        <v>4.99</v>
      </c>
      <c r="H3" s="19" t="n">
        <f>G3-C3</f>
        <v>-0.399999999999999</v>
      </c>
      <c r="I3" s="11" t="s">
        <v>187</v>
      </c>
      <c r="J3" s="18" t="n">
        <v>5.39</v>
      </c>
      <c r="K3" s="19" t="n">
        <f>J3-C3</f>
        <v>0</v>
      </c>
      <c r="L3" s="26" t="n">
        <f>(J3-C3)/C3</f>
        <v>0</v>
      </c>
    </row>
    <row r="4" ht="16.5" customHeight="1">
      <c r="A4" s="21" t="s">
        <v>7</v>
      </c>
      <c r="B4" s="19" t="s">
        <v>187</v>
      </c>
      <c r="C4" s="20" t="n">
        <v>4.49</v>
      </c>
      <c r="D4" s="20" t="n">
        <v>3.82</v>
      </c>
      <c r="E4" s="20" t="n">
        <v>3.82</v>
      </c>
      <c r="F4" s="19" t="s">
        <v>187</v>
      </c>
      <c r="G4" s="23" t="n">
        <v>3.99</v>
      </c>
      <c r="H4" s="19" t="n">
        <f>G4-C4</f>
        <v>-0.5</v>
      </c>
      <c r="I4" s="11" t="s">
        <v>187</v>
      </c>
      <c r="J4" s="18" t="n">
        <v>4.49</v>
      </c>
      <c r="K4" s="19" t="n">
        <f>J4-C4</f>
        <v>0</v>
      </c>
      <c r="L4" s="26" t="n">
        <f>(J4-C4)/C4</f>
        <v>0</v>
      </c>
    </row>
    <row r="5" ht="16.5" customHeight="1">
      <c r="A5" s="21" t="s">
        <v>8</v>
      </c>
      <c r="B5" s="19" t="s">
        <v>187</v>
      </c>
      <c r="C5" s="20" t="n">
        <v>4.49</v>
      </c>
      <c r="D5" s="20" t="n">
        <v>3.82</v>
      </c>
      <c r="E5" s="20" t="n">
        <v>3.82</v>
      </c>
      <c r="F5" s="19" t="s">
        <v>187</v>
      </c>
      <c r="G5" s="23" t="n">
        <v>3.99</v>
      </c>
      <c r="H5" s="19" t="n">
        <f>G5-C5</f>
        <v>-0.5</v>
      </c>
      <c r="I5" s="11" t="s">
        <v>187</v>
      </c>
      <c r="J5" s="18" t="n">
        <v>4.49</v>
      </c>
      <c r="K5" s="19" t="n">
        <f>J5-C5</f>
        <v>0</v>
      </c>
      <c r="L5" s="26" t="n">
        <f>(J5-C5)/C5</f>
        <v>0</v>
      </c>
    </row>
    <row r="6" ht="16.5" customHeight="1">
      <c r="A6" s="21" t="s">
        <v>9</v>
      </c>
      <c r="B6" s="19" t="s">
        <v>187</v>
      </c>
      <c r="C6" s="20" t="n">
        <v>4.49</v>
      </c>
      <c r="D6" s="20" t="n">
        <v>3.82</v>
      </c>
      <c r="E6" s="20" t="n">
        <v>3.82</v>
      </c>
      <c r="F6" s="19" t="s">
        <v>187</v>
      </c>
      <c r="G6" s="23" t="n">
        <v>3.99</v>
      </c>
      <c r="H6" s="19" t="n">
        <f>G6-C6</f>
        <v>-0.5</v>
      </c>
      <c r="I6" s="11" t="s">
        <v>187</v>
      </c>
      <c r="J6" s="18" t="n">
        <v>4.49</v>
      </c>
      <c r="K6" s="19" t="n">
        <f>J6-C6</f>
        <v>0</v>
      </c>
      <c r="L6" s="26" t="n">
        <f>(J6-C6)/C6</f>
        <v>0</v>
      </c>
    </row>
    <row r="7" ht="16.5" customHeight="1">
      <c r="A7" s="21" t="s">
        <v>10</v>
      </c>
      <c r="B7" s="19" t="s">
        <v>187</v>
      </c>
      <c r="C7" s="20" t="n">
        <v>4.49</v>
      </c>
      <c r="D7" s="20" t="n">
        <v>3.82</v>
      </c>
      <c r="E7" s="20" t="n">
        <v>3.82</v>
      </c>
      <c r="F7" s="19" t="s">
        <v>187</v>
      </c>
      <c r="G7" s="23" t="n">
        <v>3.99</v>
      </c>
      <c r="H7" s="19" t="n">
        <f>G7-C7</f>
        <v>-0.5</v>
      </c>
      <c r="I7" s="11" t="s">
        <v>187</v>
      </c>
      <c r="J7" s="18" t="n">
        <v>4.49</v>
      </c>
      <c r="K7" s="19" t="n">
        <f>J7-C7</f>
        <v>0</v>
      </c>
      <c r="L7" s="26" t="n">
        <f>(J7-C7)/C7</f>
        <v>0</v>
      </c>
    </row>
    <row r="8" ht="16.5" customHeight="1">
      <c r="A8" s="21" t="s">
        <v>11</v>
      </c>
      <c r="B8" s="19" t="s">
        <v>187</v>
      </c>
      <c r="C8" s="20" t="n">
        <v>4.49</v>
      </c>
      <c r="D8" s="20" t="n">
        <v>3.82</v>
      </c>
      <c r="E8" s="20" t="n">
        <v>3.82</v>
      </c>
      <c r="F8" s="19" t="s">
        <v>187</v>
      </c>
      <c r="G8" s="23" t="n">
        <v>3.99</v>
      </c>
      <c r="H8" s="19" t="n">
        <f>G8-C8</f>
        <v>-0.5</v>
      </c>
      <c r="I8" s="11" t="s">
        <v>187</v>
      </c>
      <c r="J8" s="18" t="n">
        <v>4.49</v>
      </c>
      <c r="K8" s="19" t="n">
        <f>J8-C8</f>
        <v>0</v>
      </c>
      <c r="L8" s="26" t="n">
        <f>(J8-C8)/C8</f>
        <v>0</v>
      </c>
    </row>
    <row r="9" ht="16.5" customHeight="1">
      <c r="A9" s="21" t="s">
        <v>12</v>
      </c>
      <c r="B9" s="19" t="s">
        <v>187</v>
      </c>
      <c r="C9" s="20" t="n">
        <v>5.49</v>
      </c>
      <c r="D9" s="20" t="n">
        <v>3.89</v>
      </c>
      <c r="E9" s="20" t="n">
        <v>3.89</v>
      </c>
      <c r="F9" s="19" t="s">
        <v>187</v>
      </c>
      <c r="G9" s="23" t="n">
        <v>4.99</v>
      </c>
      <c r="H9" s="19" t="n">
        <f>G9-C9</f>
        <v>-0.5</v>
      </c>
      <c r="I9" s="11" t="s">
        <v>187</v>
      </c>
      <c r="J9" s="18" t="n">
        <v>4.99</v>
      </c>
      <c r="K9" s="19" t="n">
        <f>J9-C9</f>
        <v>-0.5</v>
      </c>
      <c r="L9" s="26" t="n">
        <f>(J9-C9)/C9</f>
        <v>-0.0910746812386157</v>
      </c>
    </row>
    <row r="10" ht="16.5" customHeight="1">
      <c r="A10" s="21" t="s">
        <v>13</v>
      </c>
      <c r="B10" s="19" t="s">
        <v>188</v>
      </c>
      <c r="C10" s="20" t="n">
        <v>6.99</v>
      </c>
      <c r="D10" s="20" t="n">
        <v>5.4</v>
      </c>
      <c r="E10" s="20" t="n">
        <v>5.4</v>
      </c>
      <c r="F10" s="19" t="s">
        <v>188</v>
      </c>
      <c r="G10" s="23" t="n">
        <v>5.99</v>
      </c>
      <c r="H10" s="19" t="n">
        <f>G10-C10</f>
        <v>-1</v>
      </c>
      <c r="I10" s="11" t="s">
        <v>188</v>
      </c>
      <c r="J10" s="18" t="n">
        <v>6.99</v>
      </c>
      <c r="K10" s="19" t="n">
        <f>J10-C10</f>
        <v>0</v>
      </c>
      <c r="L10" s="26" t="n">
        <f>(J10-C10)/C10</f>
        <v>0</v>
      </c>
    </row>
    <row r="11" ht="16.5" customHeight="1">
      <c r="A11" s="21" t="s">
        <v>14</v>
      </c>
      <c r="B11" s="19" t="s">
        <v>189</v>
      </c>
      <c r="C11" s="20" t="n">
        <v>4.99</v>
      </c>
      <c r="D11" s="20" t="n">
        <v>3.53</v>
      </c>
      <c r="E11" s="20" t="n">
        <v>3.53</v>
      </c>
      <c r="F11" s="19" t="s">
        <v>189</v>
      </c>
      <c r="G11" s="23" t="n">
        <v>4.99</v>
      </c>
      <c r="H11" s="19" t="n">
        <f>G11-C11</f>
        <v>0</v>
      </c>
      <c r="I11" s="11" t="s">
        <v>189</v>
      </c>
      <c r="J11" s="18" t="n">
        <v>4.99</v>
      </c>
      <c r="K11" s="19" t="n">
        <f>J11-C11</f>
        <v>0</v>
      </c>
      <c r="L11" s="26" t="n">
        <f>(J11-C11)/C11</f>
        <v>0</v>
      </c>
    </row>
    <row r="12" ht="16.5" customHeight="1">
      <c r="A12" s="21" t="s">
        <v>15</v>
      </c>
      <c r="B12" s="19" t="s">
        <v>187</v>
      </c>
      <c r="C12" s="20" t="n">
        <v>4.49</v>
      </c>
      <c r="D12" s="20" t="n">
        <v>3.23</v>
      </c>
      <c r="E12" s="20" t="n">
        <v>3.23</v>
      </c>
      <c r="F12" s="19" t="s">
        <v>187</v>
      </c>
      <c r="G12" s="23" t="n">
        <v>4.99</v>
      </c>
      <c r="H12" s="19" t="n">
        <f>G12-C12</f>
        <v>0.5</v>
      </c>
      <c r="I12" s="11" t="s">
        <v>187</v>
      </c>
      <c r="J12" s="18" t="n">
        <v>4.99</v>
      </c>
      <c r="K12" s="19" t="n">
        <f>J12-C12</f>
        <v>0.5</v>
      </c>
      <c r="L12" s="26" t="n">
        <f>(J12-C12)/C12</f>
        <v>0.111358574610245</v>
      </c>
    </row>
    <row r="13" ht="16.5" customHeight="1">
      <c r="A13" s="21" t="s">
        <v>16</v>
      </c>
      <c r="B13" s="19" t="s">
        <v>187</v>
      </c>
      <c r="C13" s="20" t="n">
        <v>4.99</v>
      </c>
      <c r="D13" s="20" t="n">
        <v>3.86</v>
      </c>
      <c r="E13" s="20" t="n">
        <v>3.86</v>
      </c>
      <c r="F13" s="19" t="s">
        <v>187</v>
      </c>
      <c r="G13" s="23" t="n">
        <v>3.99</v>
      </c>
      <c r="H13" s="19" t="n">
        <f>G13-C13</f>
        <v>-1</v>
      </c>
      <c r="I13" s="11" t="s">
        <v>187</v>
      </c>
      <c r="J13" s="18" t="n">
        <v>4.99</v>
      </c>
      <c r="K13" s="19" t="n">
        <f>J13-C13</f>
        <v>0</v>
      </c>
      <c r="L13" s="26" t="n">
        <f>(J13-C13)/C13</f>
        <v>0</v>
      </c>
    </row>
    <row r="14" ht="16.5" customHeight="1">
      <c r="A14" s="21" t="s">
        <v>17</v>
      </c>
      <c r="B14" s="19" t="s">
        <v>187</v>
      </c>
      <c r="C14" s="20" t="n">
        <v>4.99</v>
      </c>
      <c r="D14" s="20" t="n">
        <v>3.86</v>
      </c>
      <c r="E14" s="20" t="n">
        <v>3.86</v>
      </c>
      <c r="F14" s="19" t="s">
        <v>187</v>
      </c>
      <c r="G14" s="23" t="n">
        <v>3.99</v>
      </c>
      <c r="H14" s="19" t="n">
        <f>G14-C14</f>
        <v>-1</v>
      </c>
      <c r="I14" s="11" t="s">
        <v>187</v>
      </c>
      <c r="J14" s="18" t="n">
        <v>4.99</v>
      </c>
      <c r="K14" s="19" t="n">
        <f>J14-C14</f>
        <v>0</v>
      </c>
      <c r="L14" s="26" t="n">
        <f>(J14-C14)/C14</f>
        <v>0</v>
      </c>
    </row>
    <row r="15" ht="16.5" customHeight="1">
      <c r="A15" s="21" t="s">
        <v>18</v>
      </c>
      <c r="B15" s="19" t="s">
        <v>187</v>
      </c>
      <c r="C15" s="20" t="n">
        <v>5.49</v>
      </c>
      <c r="D15" s="20" t="n">
        <v>3.97</v>
      </c>
      <c r="E15" s="20" t="n">
        <v>3.97</v>
      </c>
      <c r="F15" s="19" t="s">
        <v>187</v>
      </c>
      <c r="G15" s="23" t="n">
        <v>4.99</v>
      </c>
      <c r="H15" s="19" t="n">
        <f>G15-C15</f>
        <v>-0.5</v>
      </c>
      <c r="I15" s="11" t="s">
        <v>187</v>
      </c>
      <c r="J15" s="18" t="n">
        <v>4.99</v>
      </c>
      <c r="K15" s="19" t="n">
        <f>J15-C15</f>
        <v>-0.5</v>
      </c>
      <c r="L15" s="26" t="n">
        <f>(J15-C15)/C15</f>
        <v>-0.0910746812386157</v>
      </c>
    </row>
    <row r="16" ht="16.5" customHeight="1">
      <c r="A16" s="21" t="s">
        <v>19</v>
      </c>
      <c r="B16" s="19" t="s">
        <v>187</v>
      </c>
      <c r="C16" s="20" t="n">
        <v>5.49</v>
      </c>
      <c r="D16" s="20" t="n">
        <v>3.89</v>
      </c>
      <c r="E16" s="20" t="n">
        <v>3.89</v>
      </c>
      <c r="F16" s="19" t="s">
        <v>187</v>
      </c>
      <c r="G16" s="23" t="n">
        <v>4.99</v>
      </c>
      <c r="H16" s="19" t="n">
        <f>G16-C16</f>
        <v>-0.5</v>
      </c>
      <c r="I16" s="11" t="s">
        <v>187</v>
      </c>
      <c r="J16" s="18" t="n">
        <v>5.49</v>
      </c>
      <c r="K16" s="19" t="n">
        <f>J16-C16</f>
        <v>0</v>
      </c>
      <c r="L16" s="26" t="n">
        <f>(J16-C16)/C16</f>
        <v>0</v>
      </c>
    </row>
    <row r="17" ht="16.5" customHeight="1">
      <c r="A17" s="21" t="s">
        <v>20</v>
      </c>
      <c r="B17" s="19" t="s">
        <v>189</v>
      </c>
      <c r="C17" s="20" t="n">
        <v>4.99</v>
      </c>
      <c r="D17" s="20" t="n">
        <v>3.51</v>
      </c>
      <c r="E17" s="20" t="n">
        <v>3.51</v>
      </c>
      <c r="F17" s="19" t="s">
        <v>189</v>
      </c>
      <c r="G17" s="23" t="n">
        <v>4.99</v>
      </c>
      <c r="H17" s="19" t="n">
        <f>G17-C17</f>
        <v>0</v>
      </c>
      <c r="I17" s="11" t="s">
        <v>189</v>
      </c>
      <c r="J17" s="18" t="n">
        <v>4.99</v>
      </c>
      <c r="K17" s="19" t="n">
        <f>J17-C17</f>
        <v>0</v>
      </c>
      <c r="L17" s="26" t="n">
        <f>(J17-C17)/C17</f>
        <v>0</v>
      </c>
    </row>
    <row r="18" ht="16.5" customHeight="1">
      <c r="A18" s="21" t="s">
        <v>21</v>
      </c>
      <c r="B18" s="19" t="s">
        <v>187</v>
      </c>
      <c r="C18" s="20" t="n">
        <v>4.49</v>
      </c>
      <c r="D18" s="20" t="n">
        <v>3.82</v>
      </c>
      <c r="E18" s="20" t="n">
        <v>3.82</v>
      </c>
      <c r="F18" s="19" t="s">
        <v>187</v>
      </c>
      <c r="G18" s="23" t="n">
        <v>3.99</v>
      </c>
      <c r="H18" s="19" t="n">
        <f>G18-C18</f>
        <v>-0.5</v>
      </c>
      <c r="I18" s="11" t="s">
        <v>187</v>
      </c>
      <c r="J18" s="18" t="n">
        <v>4.49</v>
      </c>
      <c r="K18" s="19" t="n">
        <f>J18-C18</f>
        <v>0</v>
      </c>
      <c r="L18" s="26" t="n">
        <f>(J18-C18)/C18</f>
        <v>0</v>
      </c>
    </row>
    <row r="19" ht="16.5" customHeight="1">
      <c r="A19" s="21" t="s">
        <v>22</v>
      </c>
      <c r="B19" s="19" t="s">
        <v>187</v>
      </c>
      <c r="C19" s="20" t="n">
        <v>4.49</v>
      </c>
      <c r="D19" s="20" t="n">
        <v>3.23</v>
      </c>
      <c r="E19" s="20" t="n">
        <v>3.23</v>
      </c>
      <c r="F19" s="19" t="s">
        <v>187</v>
      </c>
      <c r="G19" s="23" t="n">
        <v>4.99</v>
      </c>
      <c r="H19" s="19" t="n">
        <f>G19-C19</f>
        <v>0.5</v>
      </c>
      <c r="I19" s="11" t="s">
        <v>187</v>
      </c>
      <c r="J19" s="18" t="n">
        <v>4.99</v>
      </c>
      <c r="K19" s="19" t="n">
        <f>J19-C19</f>
        <v>0.5</v>
      </c>
      <c r="L19" s="26" t="n">
        <f>(J19-C19)/C19</f>
        <v>0.111358574610245</v>
      </c>
    </row>
    <row r="20" ht="16.5" customHeight="1">
      <c r="A20" s="21" t="s">
        <v>23</v>
      </c>
      <c r="B20" s="19" t="s">
        <v>187</v>
      </c>
      <c r="C20" s="20" t="n">
        <v>4.49</v>
      </c>
      <c r="D20" s="20" t="n">
        <v>3.82</v>
      </c>
      <c r="E20" s="20" t="n">
        <v>3.82</v>
      </c>
      <c r="F20" s="19" t="s">
        <v>187</v>
      </c>
      <c r="G20" s="23" t="n">
        <v>3.99</v>
      </c>
      <c r="H20" s="19" t="n">
        <f>G20-C20</f>
        <v>-0.5</v>
      </c>
      <c r="I20" s="11" t="s">
        <v>187</v>
      </c>
      <c r="J20" s="18" t="n">
        <v>4.49</v>
      </c>
      <c r="K20" s="19" t="n">
        <f>J20-C20</f>
        <v>0</v>
      </c>
      <c r="L20" s="26" t="n">
        <f>(J20-C20)/C20</f>
        <v>0</v>
      </c>
    </row>
    <row r="21" ht="16.5" customHeight="1">
      <c r="A21" s="21" t="s">
        <v>24</v>
      </c>
      <c r="B21" s="19" t="s">
        <v>187</v>
      </c>
      <c r="C21" s="20" t="n">
        <v>4.49</v>
      </c>
      <c r="D21" s="20" t="n">
        <v>3.82</v>
      </c>
      <c r="E21" s="20" t="n">
        <v>3.82</v>
      </c>
      <c r="F21" s="19" t="s">
        <v>187</v>
      </c>
      <c r="G21" s="23" t="n">
        <v>3.99</v>
      </c>
      <c r="H21" s="19" t="n">
        <f>G21-C21</f>
        <v>-0.5</v>
      </c>
      <c r="I21" s="11" t="s">
        <v>187</v>
      </c>
      <c r="J21" s="18" t="n">
        <v>4.49</v>
      </c>
      <c r="K21" s="19" t="n">
        <f>J21-C21</f>
        <v>0</v>
      </c>
      <c r="L21" s="26" t="n">
        <f>(J21-C21)/C21</f>
        <v>0</v>
      </c>
    </row>
    <row r="22" ht="16.5" customHeight="1">
      <c r="A22" s="21" t="s">
        <v>25</v>
      </c>
      <c r="B22" s="19" t="s">
        <v>187</v>
      </c>
      <c r="C22" s="20" t="n">
        <v>4.49</v>
      </c>
      <c r="D22" s="20" t="n">
        <v>3.82</v>
      </c>
      <c r="E22" s="20" t="n">
        <v>3.82</v>
      </c>
      <c r="F22" s="19" t="s">
        <v>187</v>
      </c>
      <c r="G22" s="23" t="n">
        <v>3.99</v>
      </c>
      <c r="H22" s="19" t="n">
        <f>G22-C22</f>
        <v>-0.5</v>
      </c>
      <c r="I22" s="11" t="s">
        <v>187</v>
      </c>
      <c r="J22" s="18" t="n">
        <v>4.49</v>
      </c>
      <c r="K22" s="19" t="n">
        <f>J22-C22</f>
        <v>0</v>
      </c>
      <c r="L22" s="26" t="n">
        <f>(J22-C22)/C22</f>
        <v>0</v>
      </c>
    </row>
    <row r="23" ht="16.5" customHeight="1">
      <c r="A23" s="21" t="s">
        <v>26</v>
      </c>
      <c r="B23" s="19" t="s">
        <v>189</v>
      </c>
      <c r="C23" s="20" t="n">
        <v>4.99</v>
      </c>
      <c r="D23" s="20" t="n">
        <v>3.63</v>
      </c>
      <c r="E23" s="20" t="n">
        <v>3.63</v>
      </c>
      <c r="F23" s="19" t="s">
        <v>189</v>
      </c>
      <c r="G23" s="23" t="n">
        <v>4.99</v>
      </c>
      <c r="H23" s="19" t="n">
        <f>G23-C23</f>
        <v>0</v>
      </c>
      <c r="I23" s="11" t="s">
        <v>189</v>
      </c>
      <c r="J23" s="18" t="n">
        <v>4.99</v>
      </c>
      <c r="K23" s="19" t="n">
        <f>J23-C23</f>
        <v>0</v>
      </c>
      <c r="L23" s="26" t="n">
        <f>(J23-C23)/C23</f>
        <v>0</v>
      </c>
    </row>
    <row r="24" ht="16.5" customHeight="1">
      <c r="A24" s="21" t="s">
        <v>27</v>
      </c>
      <c r="B24" s="19" t="s">
        <v>187</v>
      </c>
      <c r="C24" s="20" t="n">
        <v>4.49</v>
      </c>
      <c r="D24" s="20" t="n">
        <v>3.82</v>
      </c>
      <c r="E24" s="20" t="n">
        <v>3.82</v>
      </c>
      <c r="F24" s="19" t="s">
        <v>187</v>
      </c>
      <c r="G24" s="23" t="n">
        <v>3.99</v>
      </c>
      <c r="H24" s="19" t="n">
        <f>G24-C24</f>
        <v>-0.5</v>
      </c>
      <c r="I24" s="11" t="s">
        <v>187</v>
      </c>
      <c r="J24" s="18" t="n">
        <v>4.49</v>
      </c>
      <c r="K24" s="19" t="n">
        <f>J24-C24</f>
        <v>0</v>
      </c>
      <c r="L24" s="26" t="n">
        <f>(J24-C24)/C24</f>
        <v>0</v>
      </c>
    </row>
    <row r="25" ht="16.5" customHeight="1">
      <c r="A25" s="21" t="s">
        <v>28</v>
      </c>
      <c r="B25" s="19" t="s">
        <v>190</v>
      </c>
      <c r="C25" s="20" t="n">
        <v>25.9</v>
      </c>
      <c r="D25" s="20" t="n">
        <v>19.81</v>
      </c>
      <c r="E25" s="20" t="n">
        <v>19.81</v>
      </c>
      <c r="F25" s="19" t="s">
        <v>190</v>
      </c>
      <c r="G25" s="23" t="n">
        <v>24.9</v>
      </c>
      <c r="H25" s="19" t="n">
        <f>G25-C25</f>
        <v>-1</v>
      </c>
      <c r="I25" s="11" t="s">
        <v>190</v>
      </c>
      <c r="J25" s="18" t="n">
        <v>29.9</v>
      </c>
      <c r="K25" s="19" t="n">
        <f>J25-C25</f>
        <v>4</v>
      </c>
      <c r="L25" s="26" t="n">
        <f>(J25-C25)/C25</f>
        <v>0.154440154440154</v>
      </c>
    </row>
    <row r="26" ht="16.5" customHeight="1">
      <c r="A26" s="21" t="s">
        <v>29</v>
      </c>
      <c r="B26" s="19" t="s">
        <v>187</v>
      </c>
      <c r="C26" s="20" t="n">
        <v>4.49</v>
      </c>
      <c r="D26" s="20" t="n">
        <v>3.82</v>
      </c>
      <c r="E26" s="20" t="n">
        <v>3.82</v>
      </c>
      <c r="F26" s="19" t="s">
        <v>187</v>
      </c>
      <c r="G26" s="23" t="n">
        <v>3.99</v>
      </c>
      <c r="H26" s="19" t="n">
        <f>G26-C26</f>
        <v>-0.5</v>
      </c>
      <c r="I26" s="11" t="s">
        <v>187</v>
      </c>
      <c r="J26" s="18" t="n">
        <v>4.49</v>
      </c>
      <c r="K26" s="19" t="n">
        <f>J26-C26</f>
        <v>0</v>
      </c>
      <c r="L26" s="26" t="n">
        <f>(J26-C26)/C26</f>
        <v>0</v>
      </c>
    </row>
    <row r="27" ht="16.5" customHeight="1">
      <c r="A27" s="21" t="s">
        <v>30</v>
      </c>
      <c r="B27" s="19" t="s">
        <v>187</v>
      </c>
      <c r="C27" s="20" t="n">
        <v>4.49</v>
      </c>
      <c r="D27" s="20" t="n">
        <v>3.82</v>
      </c>
      <c r="E27" s="20" t="n">
        <v>3.82</v>
      </c>
      <c r="F27" s="19" t="s">
        <v>187</v>
      </c>
      <c r="G27" s="23" t="n">
        <v>3.99</v>
      </c>
      <c r="H27" s="19" t="n">
        <f>G27-C27</f>
        <v>-0.5</v>
      </c>
      <c r="I27" s="11" t="s">
        <v>187</v>
      </c>
      <c r="J27" s="18" t="n">
        <v>4.49</v>
      </c>
      <c r="K27" s="19" t="n">
        <f>J27-C27</f>
        <v>0</v>
      </c>
      <c r="L27" s="26" t="n">
        <f>(J27-C27)/C27</f>
        <v>0</v>
      </c>
    </row>
    <row r="28" ht="16.5" customHeight="1">
      <c r="A28" s="21" t="s">
        <v>31</v>
      </c>
      <c r="B28" s="19" t="s">
        <v>191</v>
      </c>
      <c r="C28" s="20" t="n">
        <v>9.49</v>
      </c>
      <c r="D28" s="20" t="n">
        <v>6.72</v>
      </c>
      <c r="E28" s="20" t="n">
        <v>6.72</v>
      </c>
      <c r="F28" s="19" t="s">
        <v>191</v>
      </c>
      <c r="G28" s="23" t="n">
        <v>8.99</v>
      </c>
      <c r="H28" s="19" t="n">
        <f>G28-C28</f>
        <v>-0.5</v>
      </c>
      <c r="I28" s="11" t="s">
        <v>191</v>
      </c>
      <c r="J28" s="18" t="n">
        <v>9.99</v>
      </c>
      <c r="K28" s="19" t="n">
        <f>J28-C28</f>
        <v>0.5</v>
      </c>
      <c r="L28" s="26" t="n">
        <f>(J28-C28)/C28</f>
        <v>0.0526870389884089</v>
      </c>
    </row>
    <row r="29" ht="16.5" customHeight="1">
      <c r="A29" s="21" t="s">
        <v>32</v>
      </c>
      <c r="B29" s="19" t="s">
        <v>187</v>
      </c>
      <c r="C29" s="20" t="n">
        <v>4.49</v>
      </c>
      <c r="D29" s="20" t="n">
        <v>3.82</v>
      </c>
      <c r="E29" s="20" t="n">
        <v>3.82</v>
      </c>
      <c r="F29" s="19" t="s">
        <v>187</v>
      </c>
      <c r="G29" s="23" t="n">
        <v>3.99</v>
      </c>
      <c r="H29" s="19" t="n">
        <f>G29-C29</f>
        <v>-0.5</v>
      </c>
      <c r="I29" s="11" t="s">
        <v>187</v>
      </c>
      <c r="J29" s="18" t="n">
        <v>4.49</v>
      </c>
      <c r="K29" s="19" t="n">
        <f>J29-C29</f>
        <v>0</v>
      </c>
      <c r="L29" s="26" t="n">
        <f>(J29-C29)/C29</f>
        <v>0</v>
      </c>
    </row>
    <row r="30" ht="16.5" customHeight="1">
      <c r="A30" s="21" t="s">
        <v>33</v>
      </c>
      <c r="B30" s="19" t="s">
        <v>187</v>
      </c>
      <c r="C30" s="20" t="n">
        <v>4.99</v>
      </c>
      <c r="D30" s="20" t="n">
        <v>3.86</v>
      </c>
      <c r="E30" s="20" t="n">
        <v>3.86</v>
      </c>
      <c r="F30" s="19" t="s">
        <v>187</v>
      </c>
      <c r="G30" s="23" t="n">
        <v>3.99</v>
      </c>
      <c r="H30" s="19" t="n">
        <f>G30-C30</f>
        <v>-1</v>
      </c>
      <c r="I30" s="11" t="s">
        <v>187</v>
      </c>
      <c r="J30" s="18" t="n">
        <v>4.99</v>
      </c>
      <c r="K30" s="19" t="n">
        <f>J30-C30</f>
        <v>0</v>
      </c>
      <c r="L30" s="26" t="n">
        <f>(J30-C30)/C30</f>
        <v>0</v>
      </c>
    </row>
    <row r="31" ht="16.5" customHeight="1">
      <c r="A31" s="21" t="s">
        <v>34</v>
      </c>
      <c r="B31" s="19" t="s">
        <v>187</v>
      </c>
      <c r="C31" s="20" t="n">
        <v>5.49</v>
      </c>
      <c r="D31" s="20" t="n">
        <v>3.91</v>
      </c>
      <c r="E31" s="20" t="n">
        <v>3.91</v>
      </c>
      <c r="F31" s="19" t="s">
        <v>187</v>
      </c>
      <c r="G31" s="23" t="n">
        <v>4.99</v>
      </c>
      <c r="H31" s="19" t="n">
        <f>G31-C31</f>
        <v>-0.5</v>
      </c>
      <c r="I31" s="11" t="s">
        <v>187</v>
      </c>
      <c r="J31" s="18" t="n">
        <v>4.99</v>
      </c>
      <c r="K31" s="19" t="n">
        <f>J31-C31</f>
        <v>-0.5</v>
      </c>
      <c r="L31" s="26" t="n">
        <f>(J31-C31)/C31</f>
        <v>-0.0910746812386157</v>
      </c>
    </row>
    <row r="32" ht="16.5" customHeight="1">
      <c r="A32" s="21" t="s">
        <v>35</v>
      </c>
      <c r="B32" s="19" t="s">
        <v>192</v>
      </c>
      <c r="C32" s="20" t="n">
        <v>5.99</v>
      </c>
      <c r="D32" s="20" t="n">
        <v>5.08</v>
      </c>
      <c r="E32" s="20" t="n">
        <v>5.08</v>
      </c>
      <c r="F32" s="19" t="s">
        <v>192</v>
      </c>
      <c r="G32" s="23" t="n">
        <v>4.99</v>
      </c>
      <c r="H32" s="19" t="n">
        <f>G32-C32</f>
        <v>-1</v>
      </c>
      <c r="I32" s="11" t="s">
        <v>192</v>
      </c>
      <c r="J32" s="18" t="n">
        <v>5.99</v>
      </c>
      <c r="K32" s="19" t="n">
        <f>J32-C32</f>
        <v>0</v>
      </c>
      <c r="L32" s="26" t="n">
        <f>(J32-C32)/C32</f>
        <v>0</v>
      </c>
    </row>
    <row r="33" ht="16.5" customHeight="1">
      <c r="A33" s="21" t="s">
        <v>36</v>
      </c>
      <c r="B33" s="19" t="s">
        <v>187</v>
      </c>
      <c r="C33" s="20" t="n">
        <v>4.49</v>
      </c>
      <c r="D33" s="20" t="n">
        <v>3.82</v>
      </c>
      <c r="E33" s="20" t="n">
        <v>3.82</v>
      </c>
      <c r="F33" s="19" t="s">
        <v>187</v>
      </c>
      <c r="G33" s="23" t="n">
        <v>3.99</v>
      </c>
      <c r="H33" s="19" t="n">
        <f>G33-C33</f>
        <v>-0.5</v>
      </c>
      <c r="I33" s="11" t="s">
        <v>187</v>
      </c>
      <c r="J33" s="18" t="n">
        <v>4.49</v>
      </c>
      <c r="K33" s="19" t="n">
        <f>J33-C33</f>
        <v>0</v>
      </c>
      <c r="L33" s="26" t="n">
        <f>(J33-C33)/C33</f>
        <v>0</v>
      </c>
    </row>
    <row r="34" ht="16.5" customHeight="1">
      <c r="A34" s="21" t="s">
        <v>37</v>
      </c>
      <c r="B34" s="19" t="s">
        <v>187</v>
      </c>
      <c r="C34" s="20" t="n">
        <v>4.49</v>
      </c>
      <c r="D34" s="20" t="n">
        <v>3.82</v>
      </c>
      <c r="E34" s="20" t="n">
        <v>3.82</v>
      </c>
      <c r="F34" s="19" t="s">
        <v>187</v>
      </c>
      <c r="G34" s="23" t="n">
        <v>3.99</v>
      </c>
      <c r="H34" s="19" t="n">
        <f>G34-C34</f>
        <v>-0.5</v>
      </c>
      <c r="I34" s="11" t="s">
        <v>187</v>
      </c>
      <c r="J34" s="18" t="n">
        <v>4.49</v>
      </c>
      <c r="K34" s="19" t="n">
        <f>J34-C34</f>
        <v>0</v>
      </c>
      <c r="L34" s="26" t="n">
        <f>(J34-C34)/C34</f>
        <v>0</v>
      </c>
    </row>
    <row r="35" ht="16.5" customHeight="1">
      <c r="A35" s="21" t="s">
        <v>38</v>
      </c>
      <c r="B35" s="19" t="s">
        <v>187</v>
      </c>
      <c r="C35" s="20" t="n">
        <v>4.49</v>
      </c>
      <c r="D35" s="20" t="n">
        <v>3.82</v>
      </c>
      <c r="E35" s="20" t="n">
        <v>3.82</v>
      </c>
      <c r="F35" s="19" t="s">
        <v>187</v>
      </c>
      <c r="G35" s="23" t="n">
        <v>3.99</v>
      </c>
      <c r="H35" s="19" t="n">
        <f>G35-C35</f>
        <v>-0.5</v>
      </c>
      <c r="I35" s="11" t="s">
        <v>187</v>
      </c>
      <c r="J35" s="18" t="n">
        <v>4.49</v>
      </c>
      <c r="K35" s="19" t="n">
        <f>J35-C35</f>
        <v>0</v>
      </c>
      <c r="L35" s="26" t="n">
        <f>(J35-C35)/C35</f>
        <v>0</v>
      </c>
    </row>
    <row r="36" ht="16.5" customHeight="1">
      <c r="A36" s="21" t="s">
        <v>39</v>
      </c>
      <c r="B36" s="19" t="s">
        <v>193</v>
      </c>
      <c r="C36" s="20" t="n">
        <v>4500</v>
      </c>
      <c r="D36" s="20" t="n">
        <v>3214</v>
      </c>
      <c r="E36" s="20" t="n">
        <v>3214</v>
      </c>
      <c r="F36" s="19" t="s">
        <v>193</v>
      </c>
      <c r="G36" s="23" t="n">
        <v>4990</v>
      </c>
      <c r="H36" s="19" t="n">
        <f>G36-C36</f>
        <v>490</v>
      </c>
      <c r="I36" s="11" t="s">
        <v>193</v>
      </c>
      <c r="J36" s="18" t="n">
        <v>4990</v>
      </c>
      <c r="K36" s="19" t="n">
        <f>J36-C36</f>
        <v>490</v>
      </c>
      <c r="L36" s="26" t="n">
        <f>(J36-C36)/C36</f>
        <v>0.108888888888889</v>
      </c>
    </row>
    <row r="37" ht="16.5" customHeight="1">
      <c r="A37" s="21" t="s">
        <v>40</v>
      </c>
      <c r="B37" s="19" t="s">
        <v>194</v>
      </c>
      <c r="C37" s="20" t="n">
        <v>30</v>
      </c>
      <c r="D37" s="20" t="n">
        <v>25.27</v>
      </c>
      <c r="E37" s="20" t="n">
        <v>25.27</v>
      </c>
      <c r="F37" s="19" t="s">
        <v>194</v>
      </c>
      <c r="G37" s="23" t="n">
        <v>28</v>
      </c>
      <c r="H37" s="19" t="n">
        <f>G37-C37</f>
        <v>-2</v>
      </c>
      <c r="I37" s="11" t="s">
        <v>194</v>
      </c>
      <c r="J37" s="18" t="n">
        <v>30</v>
      </c>
      <c r="K37" s="19" t="n">
        <f>J37-C37</f>
        <v>0</v>
      </c>
      <c r="L37" s="26" t="n">
        <f>(J37-C37)/C37</f>
        <v>0</v>
      </c>
    </row>
    <row r="38" ht="16.5" customHeight="1">
      <c r="A38" s="21" t="s">
        <v>41</v>
      </c>
      <c r="B38" s="19" t="s">
        <v>195</v>
      </c>
      <c r="C38" s="20" t="n">
        <v>21900</v>
      </c>
      <c r="D38" s="20" t="n">
        <v>15642.86</v>
      </c>
      <c r="E38" s="20" t="n">
        <v>15642.86</v>
      </c>
      <c r="F38" s="19" t="s">
        <v>195</v>
      </c>
      <c r="G38" s="23" t="n">
        <v>19900</v>
      </c>
      <c r="H38" s="19" t="n">
        <f>G38-C38</f>
        <v>-2000</v>
      </c>
      <c r="I38" s="11" t="s">
        <v>195</v>
      </c>
      <c r="J38" s="18" t="n">
        <v>21900</v>
      </c>
      <c r="K38" s="19" t="n">
        <f>J38-C38</f>
        <v>0</v>
      </c>
      <c r="L38" s="26" t="n">
        <f>(J38-C38)/C38</f>
        <v>0</v>
      </c>
    </row>
    <row r="39" ht="16.5" customHeight="1">
      <c r="A39" s="21" t="s">
        <v>42</v>
      </c>
      <c r="B39" s="19" t="s">
        <v>187</v>
      </c>
      <c r="C39" s="20" t="n">
        <v>4.49</v>
      </c>
      <c r="D39" s="20" t="n">
        <v>3.82</v>
      </c>
      <c r="E39" s="20" t="n">
        <v>3.82</v>
      </c>
      <c r="F39" s="19" t="s">
        <v>187</v>
      </c>
      <c r="G39" s="23" t="n">
        <v>3.99</v>
      </c>
      <c r="H39" s="19" t="n">
        <f>G39-C39</f>
        <v>-0.5</v>
      </c>
      <c r="I39" s="11" t="s">
        <v>187</v>
      </c>
      <c r="J39" s="18" t="n">
        <v>4.49</v>
      </c>
      <c r="K39" s="19" t="n">
        <f>J39-C39</f>
        <v>0</v>
      </c>
      <c r="L39" s="26" t="n">
        <f>(J39-C39)/C39</f>
        <v>0</v>
      </c>
    </row>
    <row r="40" ht="16.5" customHeight="1">
      <c r="A40" s="21" t="s">
        <v>43</v>
      </c>
      <c r="B40" s="19" t="s">
        <v>187</v>
      </c>
      <c r="C40" s="20" t="n">
        <v>4.49</v>
      </c>
      <c r="D40" s="20" t="n">
        <v>3.82</v>
      </c>
      <c r="E40" s="20" t="n">
        <v>3.82</v>
      </c>
      <c r="F40" s="19" t="s">
        <v>187</v>
      </c>
      <c r="G40" s="23" t="n">
        <v>3.99</v>
      </c>
      <c r="H40" s="19" t="n">
        <f>G40-C40</f>
        <v>-0.5</v>
      </c>
      <c r="I40" s="11" t="s">
        <v>187</v>
      </c>
      <c r="J40" s="18" t="n">
        <v>4.49</v>
      </c>
      <c r="K40" s="19" t="n">
        <f>J40-C40</f>
        <v>0</v>
      </c>
      <c r="L40" s="26" t="n">
        <f>(J40-C40)/C40</f>
        <v>0</v>
      </c>
    </row>
    <row r="41" ht="16.5" customHeight="1">
      <c r="A41" s="21" t="s">
        <v>44</v>
      </c>
      <c r="B41" s="19" t="s">
        <v>187</v>
      </c>
      <c r="C41" s="20" t="n">
        <v>4.49</v>
      </c>
      <c r="D41" s="20" t="n">
        <v>3.82</v>
      </c>
      <c r="E41" s="20" t="n">
        <v>3.82</v>
      </c>
      <c r="F41" s="19" t="s">
        <v>187</v>
      </c>
      <c r="G41" s="23" t="n">
        <v>3.99</v>
      </c>
      <c r="H41" s="19" t="n">
        <f>G41-C41</f>
        <v>-0.5</v>
      </c>
      <c r="I41" s="11" t="s">
        <v>187</v>
      </c>
      <c r="J41" s="18" t="n">
        <v>4.49</v>
      </c>
      <c r="K41" s="19" t="n">
        <f>J41-C41</f>
        <v>0</v>
      </c>
      <c r="L41" s="26" t="n">
        <f>(J41-C41)/C41</f>
        <v>0</v>
      </c>
    </row>
    <row r="42" ht="16.5" customHeight="1">
      <c r="A42" s="21" t="s">
        <v>45</v>
      </c>
      <c r="B42" s="19" t="s">
        <v>187</v>
      </c>
      <c r="C42" s="20" t="n">
        <v>4.49</v>
      </c>
      <c r="D42" s="20" t="n">
        <v>3.23</v>
      </c>
      <c r="E42" s="20" t="n">
        <v>3.23</v>
      </c>
      <c r="F42" s="19" t="s">
        <v>187</v>
      </c>
      <c r="G42" s="23" t="n">
        <v>4.99</v>
      </c>
      <c r="H42" s="19" t="n">
        <f>G42-C42</f>
        <v>0.5</v>
      </c>
      <c r="I42" s="11" t="s">
        <v>187</v>
      </c>
      <c r="J42" s="18" t="n">
        <v>4.99</v>
      </c>
      <c r="K42" s="19" t="n">
        <f>J42-C42</f>
        <v>0.5</v>
      </c>
      <c r="L42" s="26" t="n">
        <f>(J42-C42)/C42</f>
        <v>0.111358574610245</v>
      </c>
    </row>
    <row r="43" ht="16.5" customHeight="1">
      <c r="A43" s="21" t="s">
        <v>46</v>
      </c>
      <c r="B43" s="19" t="s">
        <v>189</v>
      </c>
      <c r="C43" s="20" t="n">
        <v>5.04</v>
      </c>
      <c r="D43" s="20" t="n">
        <v>3.43</v>
      </c>
      <c r="E43" s="20" t="n">
        <v>3.43</v>
      </c>
      <c r="F43" s="19" t="s">
        <v>189</v>
      </c>
      <c r="G43" s="23" t="n">
        <v>4.99</v>
      </c>
      <c r="H43" s="19" t="n">
        <f>G43-C43</f>
        <v>-0.0499999999999998</v>
      </c>
      <c r="I43" s="11" t="s">
        <v>189</v>
      </c>
      <c r="J43" s="18" t="n">
        <v>4.99</v>
      </c>
      <c r="K43" s="19" t="n">
        <f>J43-C43</f>
        <v>-0.0499999999999998</v>
      </c>
      <c r="L43" s="26" t="n">
        <f>(J43-C43)/C43</f>
        <v>-0.00992063492063488</v>
      </c>
    </row>
    <row r="44" ht="16.5" customHeight="1">
      <c r="A44" s="21" t="s">
        <v>47</v>
      </c>
      <c r="B44" s="19" t="s">
        <v>189</v>
      </c>
      <c r="C44" s="20" t="n">
        <v>4.99</v>
      </c>
      <c r="D44" s="20" t="n">
        <v>3.56</v>
      </c>
      <c r="E44" s="20" t="n">
        <v>3.56</v>
      </c>
      <c r="F44" s="19" t="s">
        <v>189</v>
      </c>
      <c r="G44" s="23" t="n">
        <v>4.99</v>
      </c>
      <c r="H44" s="19" t="n">
        <f>G44-C44</f>
        <v>0</v>
      </c>
      <c r="I44" s="11" t="s">
        <v>189</v>
      </c>
      <c r="J44" s="18" t="n">
        <v>4.99</v>
      </c>
      <c r="K44" s="19" t="n">
        <f>J44-C44</f>
        <v>0</v>
      </c>
      <c r="L44" s="26" t="n">
        <f>(J44-C44)/C44</f>
        <v>0</v>
      </c>
    </row>
    <row r="45" ht="16.5" customHeight="1">
      <c r="A45" s="21" t="s">
        <v>48</v>
      </c>
      <c r="B45" s="19" t="s">
        <v>196</v>
      </c>
      <c r="C45" s="20" t="n">
        <v>129</v>
      </c>
      <c r="D45" s="20" t="n">
        <v>90.62</v>
      </c>
      <c r="E45" s="20" t="n">
        <v>90.62</v>
      </c>
      <c r="F45" s="19" t="s">
        <v>196</v>
      </c>
      <c r="G45" s="23" t="n">
        <v>99</v>
      </c>
      <c r="H45" s="19" t="n">
        <f>G45-C45</f>
        <v>-30</v>
      </c>
      <c r="I45" s="11" t="s">
        <v>196</v>
      </c>
      <c r="J45" s="18" t="n">
        <v>129</v>
      </c>
      <c r="K45" s="19" t="n">
        <f>J45-C45</f>
        <v>0</v>
      </c>
      <c r="L45" s="26" t="n">
        <f>(J45-C45)/C45</f>
        <v>0</v>
      </c>
    </row>
    <row r="46" ht="16.5" customHeight="1">
      <c r="A46" s="21" t="s">
        <v>49</v>
      </c>
      <c r="B46" s="19" t="s">
        <v>197</v>
      </c>
      <c r="C46" s="20" t="n">
        <v>39</v>
      </c>
      <c r="D46" s="20" t="n">
        <v>26.52</v>
      </c>
      <c r="E46" s="20" t="n">
        <v>26.52</v>
      </c>
      <c r="F46" s="19" t="s">
        <v>197</v>
      </c>
      <c r="G46" s="23" t="n">
        <v>39</v>
      </c>
      <c r="H46" s="19" t="n">
        <f>G46-C46</f>
        <v>0</v>
      </c>
      <c r="I46" s="11" t="s">
        <v>197</v>
      </c>
      <c r="J46" s="18" t="n">
        <v>39</v>
      </c>
      <c r="K46" s="19" t="n">
        <f>J46-C46</f>
        <v>0</v>
      </c>
      <c r="L46" s="26" t="n">
        <f>(J46-C46)/C46</f>
        <v>0</v>
      </c>
    </row>
    <row r="47" ht="16.5" customHeight="1">
      <c r="A47" s="21" t="s">
        <v>50</v>
      </c>
      <c r="B47" s="19" t="s">
        <v>187</v>
      </c>
      <c r="C47" s="20" t="n">
        <v>4.49</v>
      </c>
      <c r="D47" s="20" t="n">
        <v>3.82</v>
      </c>
      <c r="E47" s="20" t="n">
        <v>3.82</v>
      </c>
      <c r="F47" s="19" t="s">
        <v>187</v>
      </c>
      <c r="G47" s="23" t="n">
        <v>3.99</v>
      </c>
      <c r="H47" s="19" t="n">
        <f>G47-C47</f>
        <v>-0.5</v>
      </c>
      <c r="I47" s="11" t="s">
        <v>187</v>
      </c>
      <c r="J47" s="18" t="n">
        <v>4.49</v>
      </c>
      <c r="K47" s="19" t="n">
        <f>J47-C47</f>
        <v>0</v>
      </c>
      <c r="L47" s="26" t="n">
        <f>(J47-C47)/C47</f>
        <v>0</v>
      </c>
    </row>
    <row r="48" ht="16.5" customHeight="1">
      <c r="A48" s="21" t="s">
        <v>51</v>
      </c>
      <c r="B48" s="19" t="s">
        <v>187</v>
      </c>
      <c r="C48" s="20" t="n">
        <v>4.49</v>
      </c>
      <c r="D48" s="20" t="n">
        <v>3.82</v>
      </c>
      <c r="E48" s="20" t="n">
        <v>3.82</v>
      </c>
      <c r="F48" s="19" t="s">
        <v>187</v>
      </c>
      <c r="G48" s="23" t="n">
        <v>3.99</v>
      </c>
      <c r="H48" s="19" t="n">
        <f>G48-C48</f>
        <v>-0.5</v>
      </c>
      <c r="I48" s="11" t="s">
        <v>187</v>
      </c>
      <c r="J48" s="18" t="n">
        <v>4.49</v>
      </c>
      <c r="K48" s="19" t="n">
        <f>J48-C48</f>
        <v>0</v>
      </c>
      <c r="L48" s="26" t="n">
        <f>(J48-C48)/C48</f>
        <v>0</v>
      </c>
    </row>
    <row r="49" ht="16.5" customHeight="1">
      <c r="A49" s="21" t="s">
        <v>52</v>
      </c>
      <c r="B49" s="19" t="s">
        <v>187</v>
      </c>
      <c r="C49" s="20" t="n">
        <v>4.49</v>
      </c>
      <c r="D49" s="20" t="n">
        <v>3.82</v>
      </c>
      <c r="E49" s="20" t="n">
        <v>3.82</v>
      </c>
      <c r="F49" s="19" t="s">
        <v>187</v>
      </c>
      <c r="G49" s="23" t="n">
        <v>3.99</v>
      </c>
      <c r="H49" s="19" t="n">
        <f>G49-C49</f>
        <v>-0.5</v>
      </c>
      <c r="I49" s="11" t="s">
        <v>187</v>
      </c>
      <c r="J49" s="18" t="n">
        <v>4.49</v>
      </c>
      <c r="K49" s="19" t="n">
        <f>J49-C49</f>
        <v>0</v>
      </c>
      <c r="L49" s="26" t="n">
        <f>(J49-C49)/C49</f>
        <v>0</v>
      </c>
    </row>
    <row r="50" ht="16.5" customHeight="1">
      <c r="A50" s="21" t="s">
        <v>53</v>
      </c>
      <c r="B50" s="19" t="s">
        <v>198</v>
      </c>
      <c r="C50" s="20" t="n">
        <v>72.99</v>
      </c>
      <c r="D50" s="20" t="n">
        <v>54.42</v>
      </c>
      <c r="E50" s="20" t="n">
        <v>54.42</v>
      </c>
      <c r="F50" s="19" t="s">
        <v>198</v>
      </c>
      <c r="G50" s="23" t="n">
        <v>199.99</v>
      </c>
      <c r="H50" s="19" t="n">
        <f>G50-C50</f>
        <v>127</v>
      </c>
      <c r="I50" s="11" t="s">
        <v>198</v>
      </c>
      <c r="J50" s="18" t="n">
        <v>249.99</v>
      </c>
      <c r="K50" s="19" t="n">
        <f>J50-C50</f>
        <v>177</v>
      </c>
      <c r="L50" s="26" t="n">
        <f>(J50-C50)/C50</f>
        <v>2.42498972461981</v>
      </c>
    </row>
    <row r="51" ht="16.5" customHeight="1">
      <c r="A51" s="21" t="s">
        <v>54</v>
      </c>
      <c r="B51" s="19" t="s">
        <v>187</v>
      </c>
      <c r="C51" s="20" t="n">
        <v>4.49</v>
      </c>
      <c r="D51" s="20" t="n">
        <v>3.82</v>
      </c>
      <c r="E51" s="20" t="n">
        <v>3.82</v>
      </c>
      <c r="F51" s="19" t="s">
        <v>187</v>
      </c>
      <c r="G51" s="23" t="n">
        <v>3.99</v>
      </c>
      <c r="H51" s="19" t="n">
        <f>G51-C51</f>
        <v>-0.5</v>
      </c>
      <c r="I51" s="11" t="s">
        <v>187</v>
      </c>
      <c r="J51" s="18" t="n">
        <v>4.49</v>
      </c>
      <c r="K51" s="19" t="n">
        <f>J51-C51</f>
        <v>0</v>
      </c>
      <c r="L51" s="26" t="n">
        <f>(J51-C51)/C51</f>
        <v>0</v>
      </c>
    </row>
    <row r="52" ht="16.5" customHeight="1">
      <c r="A52" s="21" t="s">
        <v>55</v>
      </c>
      <c r="B52" s="19" t="s">
        <v>189</v>
      </c>
      <c r="C52" s="20" t="n">
        <v>4.99</v>
      </c>
      <c r="D52" s="20" t="n">
        <v>3.48</v>
      </c>
      <c r="E52" s="20" t="n">
        <v>3.48</v>
      </c>
      <c r="F52" s="19" t="s">
        <v>189</v>
      </c>
      <c r="G52" s="23" t="n">
        <v>4.99</v>
      </c>
      <c r="H52" s="19" t="n">
        <f>G52-C52</f>
        <v>0</v>
      </c>
      <c r="I52" s="11" t="s">
        <v>189</v>
      </c>
      <c r="J52" s="18" t="n">
        <v>4.99</v>
      </c>
      <c r="K52" s="19" t="n">
        <f>J52-C52</f>
        <v>0</v>
      </c>
      <c r="L52" s="26" t="n">
        <f>(J52-C52)/C52</f>
        <v>0</v>
      </c>
    </row>
    <row r="53" ht="16.5" customHeight="1">
      <c r="A53" s="21" t="s">
        <v>56</v>
      </c>
      <c r="B53" s="19" t="s">
        <v>187</v>
      </c>
      <c r="C53" s="20" t="n">
        <v>4.49</v>
      </c>
      <c r="D53" s="20" t="n">
        <v>3.82</v>
      </c>
      <c r="E53" s="20" t="n">
        <v>3.82</v>
      </c>
      <c r="F53" s="19" t="s">
        <v>187</v>
      </c>
      <c r="G53" s="23" t="n">
        <v>3.99</v>
      </c>
      <c r="H53" s="19" t="n">
        <f>G53-C53</f>
        <v>-0.5</v>
      </c>
      <c r="I53" s="11" t="s">
        <v>187</v>
      </c>
      <c r="J53" s="18" t="n">
        <v>4.49</v>
      </c>
      <c r="K53" s="19" t="n">
        <f>J53-C53</f>
        <v>0</v>
      </c>
      <c r="L53" s="26" t="n">
        <f>(J53-C53)/C53</f>
        <v>0</v>
      </c>
    </row>
    <row r="54" ht="16.5" customHeight="1">
      <c r="A54" s="21" t="s">
        <v>57</v>
      </c>
      <c r="B54" s="19" t="s">
        <v>187</v>
      </c>
      <c r="C54" s="20" t="n">
        <v>4.49</v>
      </c>
      <c r="D54" s="20" t="n">
        <v>3.82</v>
      </c>
      <c r="E54" s="20" t="n">
        <v>3.82</v>
      </c>
      <c r="F54" s="19" t="s">
        <v>187</v>
      </c>
      <c r="G54" s="23" t="n">
        <v>3.99</v>
      </c>
      <c r="H54" s="19" t="n">
        <f>G54-C54</f>
        <v>-0.5</v>
      </c>
      <c r="I54" s="11" t="s">
        <v>187</v>
      </c>
      <c r="J54" s="18" t="n">
        <v>4.49</v>
      </c>
      <c r="K54" s="19" t="n">
        <f>J54-C54</f>
        <v>0</v>
      </c>
      <c r="L54" s="26" t="n">
        <f>(J54-C54)/C54</f>
        <v>0</v>
      </c>
    </row>
    <row r="55" ht="16.5" customHeight="1">
      <c r="A55" s="21" t="s">
        <v>58</v>
      </c>
      <c r="B55" s="19" t="s">
        <v>189</v>
      </c>
      <c r="C55" s="20" t="n">
        <v>4.99</v>
      </c>
      <c r="D55" s="20" t="n">
        <v>3.38</v>
      </c>
      <c r="E55" s="20" t="n">
        <v>3.38</v>
      </c>
      <c r="F55" s="19" t="s">
        <v>189</v>
      </c>
      <c r="G55" s="23" t="n">
        <v>4.99</v>
      </c>
      <c r="H55" s="19" t="n">
        <f>G55-C55</f>
        <v>0</v>
      </c>
      <c r="I55" s="11" t="s">
        <v>189</v>
      </c>
      <c r="J55" s="18" t="n">
        <v>4.99</v>
      </c>
      <c r="K55" s="19" t="n">
        <f>J55-C55</f>
        <v>0</v>
      </c>
      <c r="L55" s="26" t="n">
        <f>(J55-C55)/C55</f>
        <v>0</v>
      </c>
    </row>
    <row r="56" ht="16.5" customHeight="1">
      <c r="A56" s="21" t="s">
        <v>59</v>
      </c>
      <c r="B56" s="19" t="s">
        <v>189</v>
      </c>
      <c r="C56" s="20" t="n">
        <v>4.99</v>
      </c>
      <c r="D56" s="20" t="n">
        <v>3.53</v>
      </c>
      <c r="E56" s="20" t="n">
        <v>3.53</v>
      </c>
      <c r="F56" s="19" t="s">
        <v>189</v>
      </c>
      <c r="G56" s="23" t="n">
        <v>4.99</v>
      </c>
      <c r="H56" s="19" t="n">
        <f>G56-C56</f>
        <v>0</v>
      </c>
      <c r="I56" s="11" t="s">
        <v>189</v>
      </c>
      <c r="J56" s="18" t="n">
        <v>4.99</v>
      </c>
      <c r="K56" s="19" t="n">
        <f>J56-C56</f>
        <v>0</v>
      </c>
      <c r="L56" s="26" t="n">
        <f>(J56-C56)/C56</f>
        <v>0</v>
      </c>
    </row>
    <row r="57" ht="16.5" customHeight="1">
      <c r="A57" s="21" t="s">
        <v>60</v>
      </c>
      <c r="B57" s="19" t="s">
        <v>187</v>
      </c>
      <c r="C57" s="20" t="n">
        <v>4.49</v>
      </c>
      <c r="D57" s="20" t="n">
        <v>3.82</v>
      </c>
      <c r="E57" s="20" t="n">
        <v>3.82</v>
      </c>
      <c r="F57" s="19" t="s">
        <v>187</v>
      </c>
      <c r="G57" s="23" t="n">
        <v>3.99</v>
      </c>
      <c r="H57" s="19" t="n">
        <f>G57-C57</f>
        <v>-0.5</v>
      </c>
      <c r="I57" s="11" t="s">
        <v>187</v>
      </c>
      <c r="J57" s="18" t="n">
        <v>4.49</v>
      </c>
      <c r="K57" s="19" t="n">
        <f>J57-C57</f>
        <v>0</v>
      </c>
      <c r="L57" s="26" t="n">
        <f>(J57-C57)/C57</f>
        <v>0</v>
      </c>
    </row>
    <row r="58" ht="16.5" customHeight="1">
      <c r="A58" s="21" t="s">
        <v>61</v>
      </c>
      <c r="B58" s="19" t="s">
        <v>187</v>
      </c>
      <c r="C58" s="20" t="n">
        <v>4.49</v>
      </c>
      <c r="D58" s="20" t="n">
        <v>3.82</v>
      </c>
      <c r="E58" s="20" t="n">
        <v>3.82</v>
      </c>
      <c r="F58" s="19" t="s">
        <v>187</v>
      </c>
      <c r="G58" s="23" t="n">
        <v>3.99</v>
      </c>
      <c r="H58" s="19" t="n">
        <f>G58-C58</f>
        <v>-0.5</v>
      </c>
      <c r="I58" s="11" t="s">
        <v>187</v>
      </c>
      <c r="J58" s="18" t="n">
        <v>4.49</v>
      </c>
      <c r="K58" s="19" t="n">
        <f>J58-C58</f>
        <v>0</v>
      </c>
      <c r="L58" s="26" t="n">
        <f>(J58-C58)/C58</f>
        <v>0</v>
      </c>
    </row>
    <row r="59" ht="16.5" customHeight="1">
      <c r="A59" s="21" t="s">
        <v>62</v>
      </c>
      <c r="B59" s="19" t="s">
        <v>187</v>
      </c>
      <c r="C59" s="20" t="n">
        <v>5.49</v>
      </c>
      <c r="D59" s="20" t="n">
        <v>3.95</v>
      </c>
      <c r="E59" s="20" t="n">
        <v>3.95</v>
      </c>
      <c r="F59" s="19" t="s">
        <v>187</v>
      </c>
      <c r="G59" s="23" t="n">
        <v>4.99</v>
      </c>
      <c r="H59" s="19" t="n">
        <f>G59-C59</f>
        <v>-0.5</v>
      </c>
      <c r="I59" s="11" t="s">
        <v>187</v>
      </c>
      <c r="J59" s="18" t="n">
        <v>4.99</v>
      </c>
      <c r="K59" s="19" t="n">
        <f>J59-C59</f>
        <v>-0.5</v>
      </c>
      <c r="L59" s="26" t="n">
        <f>(J59-C59)/C59</f>
        <v>-0.0910746812386157</v>
      </c>
    </row>
    <row r="60" ht="16.5" customHeight="1">
      <c r="A60" s="21" t="s">
        <v>63</v>
      </c>
      <c r="B60" s="19" t="s">
        <v>189</v>
      </c>
      <c r="C60" s="20" t="n">
        <v>4.99</v>
      </c>
      <c r="D60" s="20" t="n">
        <v>3.56</v>
      </c>
      <c r="E60" s="20" t="n">
        <v>3.56</v>
      </c>
      <c r="F60" s="19" t="s">
        <v>189</v>
      </c>
      <c r="G60" s="23" t="n">
        <v>4.99</v>
      </c>
      <c r="H60" s="19" t="n">
        <f>G60-C60</f>
        <v>0</v>
      </c>
      <c r="I60" s="11" t="s">
        <v>189</v>
      </c>
      <c r="J60" s="18" t="n">
        <v>4.99</v>
      </c>
      <c r="K60" s="19" t="n">
        <f>J60-C60</f>
        <v>0</v>
      </c>
      <c r="L60" s="26" t="n">
        <f>(J60-C60)/C60</f>
        <v>0</v>
      </c>
    </row>
    <row r="61" ht="16.5" customHeight="1">
      <c r="A61" s="21" t="s">
        <v>64</v>
      </c>
      <c r="B61" s="19" t="s">
        <v>187</v>
      </c>
      <c r="C61" s="20" t="n">
        <v>5.49</v>
      </c>
      <c r="D61" s="20" t="n">
        <v>3.83</v>
      </c>
      <c r="E61" s="20" t="n">
        <v>3.83</v>
      </c>
      <c r="F61" s="19" t="s">
        <v>187</v>
      </c>
      <c r="G61" s="23" t="n">
        <v>4.99</v>
      </c>
      <c r="H61" s="19" t="n">
        <f>G61-C61</f>
        <v>-0.5</v>
      </c>
      <c r="I61" s="11" t="s">
        <v>187</v>
      </c>
      <c r="J61" s="18" t="n">
        <v>4.99</v>
      </c>
      <c r="K61" s="19" t="n">
        <f>J61-C61</f>
        <v>-0.5</v>
      </c>
      <c r="L61" s="26" t="n">
        <f>(J61-C61)/C61</f>
        <v>-0.0910746812386157</v>
      </c>
    </row>
    <row r="62" ht="16.5" customHeight="1">
      <c r="A62" s="21" t="s">
        <v>65</v>
      </c>
      <c r="B62" s="19" t="s">
        <v>189</v>
      </c>
      <c r="C62" s="20" t="n">
        <v>4.99</v>
      </c>
      <c r="D62" s="20" t="n">
        <v>3.42</v>
      </c>
      <c r="E62" s="20" t="n">
        <v>3.42</v>
      </c>
      <c r="F62" s="19" t="s">
        <v>189</v>
      </c>
      <c r="G62" s="23" t="n">
        <v>4.99</v>
      </c>
      <c r="H62" s="19" t="n">
        <f>G62-C62</f>
        <v>0</v>
      </c>
      <c r="I62" s="11" t="s">
        <v>189</v>
      </c>
      <c r="J62" s="18" t="n">
        <v>4.99</v>
      </c>
      <c r="K62" s="19" t="n">
        <f>J62-C62</f>
        <v>0</v>
      </c>
      <c r="L62" s="26" t="n">
        <f>(J62-C62)/C62</f>
        <v>0</v>
      </c>
    </row>
    <row r="63" ht="16.5" customHeight="1">
      <c r="A63" s="21" t="s">
        <v>66</v>
      </c>
      <c r="B63" s="19" t="s">
        <v>187</v>
      </c>
      <c r="C63" s="20" t="n">
        <v>4.49</v>
      </c>
      <c r="D63" s="20" t="n">
        <v>3.82</v>
      </c>
      <c r="E63" s="20" t="n">
        <v>3.82</v>
      </c>
      <c r="F63" s="19" t="s">
        <v>187</v>
      </c>
      <c r="G63" s="23" t="n">
        <v>3.99</v>
      </c>
      <c r="H63" s="19" t="n">
        <f>G63-C63</f>
        <v>-0.5</v>
      </c>
      <c r="I63" s="11" t="s">
        <v>187</v>
      </c>
      <c r="J63" s="18" t="n">
        <v>4.49</v>
      </c>
      <c r="K63" s="19" t="n">
        <f>J63-C63</f>
        <v>0</v>
      </c>
      <c r="L63" s="26" t="n">
        <f>(J63-C63)/C63</f>
        <v>0</v>
      </c>
    </row>
    <row r="64" ht="16.5" customHeight="1">
      <c r="A64" s="21" t="s">
        <v>67</v>
      </c>
      <c r="B64" s="19" t="s">
        <v>187</v>
      </c>
      <c r="C64" s="20" t="n">
        <v>4.49</v>
      </c>
      <c r="D64" s="20" t="n">
        <v>3.82</v>
      </c>
      <c r="E64" s="20" t="n">
        <v>3.82</v>
      </c>
      <c r="F64" s="19" t="s">
        <v>187</v>
      </c>
      <c r="G64" s="23" t="n">
        <v>3.99</v>
      </c>
      <c r="H64" s="19" t="n">
        <f>G64-C64</f>
        <v>-0.5</v>
      </c>
      <c r="I64" s="11" t="s">
        <v>187</v>
      </c>
      <c r="J64" s="18" t="n">
        <v>4.49</v>
      </c>
      <c r="K64" s="19" t="n">
        <f>J64-C64</f>
        <v>0</v>
      </c>
      <c r="L64" s="26" t="n">
        <f>(J64-C64)/C64</f>
        <v>0</v>
      </c>
    </row>
    <row r="65" ht="16.5" customHeight="1">
      <c r="A65" s="21" t="s">
        <v>68</v>
      </c>
      <c r="B65" s="19" t="s">
        <v>187</v>
      </c>
      <c r="C65" s="20" t="n">
        <v>4.49</v>
      </c>
      <c r="D65" s="20" t="n">
        <v>3.82</v>
      </c>
      <c r="E65" s="20" t="n">
        <v>3.82</v>
      </c>
      <c r="F65" s="19" t="s">
        <v>187</v>
      </c>
      <c r="G65" s="23" t="n">
        <v>3.99</v>
      </c>
      <c r="H65" s="19" t="n">
        <f>G65-C65</f>
        <v>-0.5</v>
      </c>
      <c r="I65" s="11" t="s">
        <v>187</v>
      </c>
      <c r="J65" s="18" t="n">
        <v>4.49</v>
      </c>
      <c r="K65" s="19" t="n">
        <f>J65-C65</f>
        <v>0</v>
      </c>
      <c r="L65" s="26" t="n">
        <f>(J65-C65)/C65</f>
        <v>0</v>
      </c>
    </row>
    <row r="66" ht="16.5" customHeight="1">
      <c r="A66" s="21" t="s">
        <v>69</v>
      </c>
      <c r="B66" s="19" t="s">
        <v>187</v>
      </c>
      <c r="C66" s="20" t="n">
        <v>4.49</v>
      </c>
      <c r="D66" s="20" t="n">
        <v>3.82</v>
      </c>
      <c r="E66" s="20" t="n">
        <v>3.82</v>
      </c>
      <c r="F66" s="19" t="s">
        <v>187</v>
      </c>
      <c r="G66" s="23" t="n">
        <v>3.99</v>
      </c>
      <c r="H66" s="19" t="n">
        <f>G66-C66</f>
        <v>-0.5</v>
      </c>
      <c r="I66" s="11" t="s">
        <v>187</v>
      </c>
      <c r="J66" s="18" t="n">
        <v>4.49</v>
      </c>
      <c r="K66" s="19" t="n">
        <f>J66-C66</f>
        <v>0</v>
      </c>
      <c r="L66" s="26" t="n">
        <f>(J66-C66)/C66</f>
        <v>0</v>
      </c>
    </row>
    <row r="67" ht="16.5" customHeight="1">
      <c r="A67" s="21" t="s">
        <v>70</v>
      </c>
      <c r="B67" s="19" t="s">
        <v>187</v>
      </c>
      <c r="C67" s="20" t="n">
        <v>4.49</v>
      </c>
      <c r="D67" s="20" t="n">
        <v>3.82</v>
      </c>
      <c r="E67" s="20" t="n">
        <v>3.82</v>
      </c>
      <c r="F67" s="19" t="s">
        <v>187</v>
      </c>
      <c r="G67" s="23" t="n">
        <v>3.99</v>
      </c>
      <c r="H67" s="19" t="n">
        <f>G67-C67</f>
        <v>-0.5</v>
      </c>
      <c r="I67" s="11" t="s">
        <v>187</v>
      </c>
      <c r="J67" s="18" t="n">
        <v>4.49</v>
      </c>
      <c r="K67" s="19" t="n">
        <f>J67-C67</f>
        <v>0</v>
      </c>
      <c r="L67" s="26" t="n">
        <f>(J67-C67)/C67</f>
        <v>0</v>
      </c>
    </row>
    <row r="68" ht="16.5" customHeight="1">
      <c r="A68" s="21" t="s">
        <v>71</v>
      </c>
      <c r="B68" s="19" t="s">
        <v>199</v>
      </c>
      <c r="C68" s="20" t="n">
        <v>38</v>
      </c>
      <c r="D68" s="20" t="n">
        <v>32.3</v>
      </c>
      <c r="E68" s="20" t="n">
        <v>32.3</v>
      </c>
      <c r="F68" s="19" t="s">
        <v>199</v>
      </c>
      <c r="G68" s="23" t="n">
        <v>32</v>
      </c>
      <c r="H68" s="19" t="n">
        <f>G68-C68</f>
        <v>-6</v>
      </c>
      <c r="I68" s="11" t="s">
        <v>199</v>
      </c>
      <c r="J68" s="18" t="n">
        <v>38</v>
      </c>
      <c r="K68" s="19" t="n">
        <f>J68-C68</f>
        <v>0</v>
      </c>
      <c r="L68" s="26" t="n">
        <f>(J68-C68)/C68</f>
        <v>0</v>
      </c>
    </row>
    <row r="69" ht="16.5" customHeight="1">
      <c r="A69" s="21" t="s">
        <v>72</v>
      </c>
      <c r="B69" s="19" t="s">
        <v>200</v>
      </c>
      <c r="C69" s="20" t="n">
        <v>1890</v>
      </c>
      <c r="D69" s="20" t="n">
        <v>1265</v>
      </c>
      <c r="E69" s="20" t="n">
        <v>1265</v>
      </c>
      <c r="F69" s="19" t="s">
        <v>200</v>
      </c>
      <c r="G69" s="23" t="n">
        <v>1790</v>
      </c>
      <c r="H69" s="19" t="n">
        <f>G69-C69</f>
        <v>-100</v>
      </c>
      <c r="I69" s="11" t="s">
        <v>200</v>
      </c>
      <c r="J69" s="18" t="n">
        <v>1990</v>
      </c>
      <c r="K69" s="19" t="n">
        <f>J69-C69</f>
        <v>100</v>
      </c>
      <c r="L69" s="26" t="n">
        <f>(J69-C69)/C69</f>
        <v>0.0529100529100529</v>
      </c>
    </row>
    <row r="70" ht="16.5" customHeight="1">
      <c r="A70" s="21" t="s">
        <v>73</v>
      </c>
      <c r="B70" s="19" t="s">
        <v>187</v>
      </c>
      <c r="C70" s="20" t="n">
        <v>5.57</v>
      </c>
      <c r="D70" s="20" t="n">
        <v>3.82</v>
      </c>
      <c r="E70" s="20" t="n">
        <v>3.82</v>
      </c>
      <c r="F70" s="19" t="s">
        <v>187</v>
      </c>
      <c r="G70" s="23" t="n">
        <v>4.99</v>
      </c>
      <c r="H70" s="19" t="n">
        <f>G70-C70</f>
        <v>-0.58</v>
      </c>
      <c r="I70" s="11" t="s">
        <v>187</v>
      </c>
      <c r="J70" s="18" t="n">
        <v>4.99</v>
      </c>
      <c r="K70" s="19" t="n">
        <f>J70-C70</f>
        <v>-0.58</v>
      </c>
      <c r="L70" s="26" t="n">
        <f>(J70-C70)/C70</f>
        <v>-0.104129263913824</v>
      </c>
    </row>
    <row r="71" ht="16.5" customHeight="1">
      <c r="A71" s="21" t="s">
        <v>74</v>
      </c>
      <c r="B71" s="19" t="s">
        <v>201</v>
      </c>
      <c r="C71" s="20" t="n">
        <v>419</v>
      </c>
      <c r="D71" s="20" t="n">
        <v>301.82</v>
      </c>
      <c r="E71" s="20" t="n">
        <v>301.82</v>
      </c>
      <c r="F71" s="19" t="s">
        <v>201</v>
      </c>
      <c r="G71" s="23" t="n">
        <v>399</v>
      </c>
      <c r="H71" s="19" t="n">
        <f>G71-C71</f>
        <v>-20</v>
      </c>
      <c r="I71" s="11" t="s">
        <v>201</v>
      </c>
      <c r="J71" s="18" t="n">
        <v>499</v>
      </c>
      <c r="K71" s="19" t="n">
        <f>J71-C71</f>
        <v>80</v>
      </c>
      <c r="L71" s="26" t="n">
        <f>(J71-C71)/C71</f>
        <v>0.190930787589499</v>
      </c>
    </row>
    <row r="72" ht="16.5" customHeight="1">
      <c r="A72" s="21" t="s">
        <v>75</v>
      </c>
      <c r="B72" s="19" t="s">
        <v>202</v>
      </c>
      <c r="C72" s="20" t="n">
        <v>75000</v>
      </c>
      <c r="D72" s="20" t="n">
        <v>57432</v>
      </c>
      <c r="E72" s="20" t="n">
        <v>57432</v>
      </c>
      <c r="F72" s="19" t="s">
        <v>202</v>
      </c>
      <c r="G72" s="23" t="n">
        <v>69000</v>
      </c>
      <c r="H72" s="19" t="n">
        <f>G72-C72</f>
        <v>-6000</v>
      </c>
      <c r="I72" s="11" t="s">
        <v>202</v>
      </c>
      <c r="J72" s="18" t="n">
        <v>79000</v>
      </c>
      <c r="K72" s="19" t="n">
        <f>J72-C72</f>
        <v>4000</v>
      </c>
      <c r="L72" s="26" t="n">
        <f>(J72-C72)/C72</f>
        <v>0.0533333333333333</v>
      </c>
    </row>
    <row r="73" ht="16.5" customHeight="1">
      <c r="A73" s="21" t="s">
        <v>76</v>
      </c>
      <c r="B73" s="19" t="s">
        <v>187</v>
      </c>
      <c r="C73" s="20" t="n">
        <v>4.49</v>
      </c>
      <c r="D73" s="20" t="n">
        <v>3.82</v>
      </c>
      <c r="E73" s="20" t="n">
        <v>3.82</v>
      </c>
      <c r="F73" s="19" t="s">
        <v>187</v>
      </c>
      <c r="G73" s="23" t="n">
        <v>3.99</v>
      </c>
      <c r="H73" s="19" t="n">
        <f>G73-C73</f>
        <v>-0.5</v>
      </c>
      <c r="I73" s="11" t="s">
        <v>187</v>
      </c>
      <c r="J73" s="18" t="n">
        <v>4.49</v>
      </c>
      <c r="K73" s="19" t="n">
        <f>J73-C73</f>
        <v>0</v>
      </c>
      <c r="L73" s="26" t="n">
        <f>(J73-C73)/C73</f>
        <v>0</v>
      </c>
    </row>
    <row r="74" ht="16.5" customHeight="1">
      <c r="A74" s="21" t="s">
        <v>77</v>
      </c>
      <c r="B74" s="19" t="s">
        <v>189</v>
      </c>
      <c r="C74" s="20" t="n">
        <v>4.99</v>
      </c>
      <c r="D74" s="20" t="n">
        <v>3.45</v>
      </c>
      <c r="E74" s="20" t="n">
        <v>3.45</v>
      </c>
      <c r="F74" s="19" t="s">
        <v>189</v>
      </c>
      <c r="G74" s="23" t="n">
        <v>4.99</v>
      </c>
      <c r="H74" s="19" t="n">
        <f>G74-C74</f>
        <v>0</v>
      </c>
      <c r="I74" s="11" t="s">
        <v>189</v>
      </c>
      <c r="J74" s="18" t="n">
        <v>4.99</v>
      </c>
      <c r="K74" s="19" t="n">
        <f>J74-C74</f>
        <v>0</v>
      </c>
      <c r="L74" s="26" t="n">
        <f>(J74-C74)/C74</f>
        <v>0</v>
      </c>
    </row>
    <row r="75" ht="16.5" customHeight="1">
      <c r="A75" s="21" t="s">
        <v>78</v>
      </c>
      <c r="B75" s="19" t="s">
        <v>203</v>
      </c>
      <c r="C75" s="20" t="n">
        <v>13.9</v>
      </c>
      <c r="D75" s="20" t="n">
        <v>11.82</v>
      </c>
      <c r="E75" s="20" t="n">
        <v>11.82</v>
      </c>
      <c r="F75" s="19" t="s">
        <v>203</v>
      </c>
      <c r="G75" s="23" t="n">
        <v>14.9</v>
      </c>
      <c r="H75" s="19" t="n">
        <f>G75-C75</f>
        <v>1</v>
      </c>
      <c r="I75" s="11" t="s">
        <v>203</v>
      </c>
      <c r="J75" s="18" t="n">
        <v>14.9</v>
      </c>
      <c r="K75" s="19" t="n">
        <f>J75-C75</f>
        <v>1</v>
      </c>
      <c r="L75" s="26" t="n">
        <f>(J75-C75)/C75</f>
        <v>0.0719424460431655</v>
      </c>
    </row>
    <row r="76" ht="16.5" customHeight="1">
      <c r="A76" s="21" t="s">
        <v>79</v>
      </c>
      <c r="B76" s="19" t="s">
        <v>189</v>
      </c>
      <c r="C76" s="20" t="n">
        <v>4.99</v>
      </c>
      <c r="D76" s="20" t="n">
        <v>3.46</v>
      </c>
      <c r="E76" s="20" t="n">
        <v>3.46</v>
      </c>
      <c r="F76" s="19" t="s">
        <v>189</v>
      </c>
      <c r="G76" s="23" t="n">
        <v>4.99</v>
      </c>
      <c r="H76" s="19" t="n">
        <f>G76-C76</f>
        <v>0</v>
      </c>
      <c r="I76" s="11" t="s">
        <v>189</v>
      </c>
      <c r="J76" s="18" t="n">
        <v>4.99</v>
      </c>
      <c r="K76" s="19" t="n">
        <f>J76-C76</f>
        <v>0</v>
      </c>
      <c r="L76" s="26" t="n">
        <f>(J76-C76)/C76</f>
        <v>0</v>
      </c>
    </row>
    <row r="77" ht="16.5" customHeight="1">
      <c r="A77" s="21" t="s">
        <v>80</v>
      </c>
      <c r="B77" s="19" t="s">
        <v>187</v>
      </c>
      <c r="C77" s="20" t="n">
        <v>4.49</v>
      </c>
      <c r="D77" s="20" t="n">
        <v>3.82</v>
      </c>
      <c r="E77" s="20" t="n">
        <v>3.82</v>
      </c>
      <c r="F77" s="19" t="s">
        <v>187</v>
      </c>
      <c r="G77" s="23" t="n">
        <v>3.99</v>
      </c>
      <c r="H77" s="19" t="n">
        <f>G77-C77</f>
        <v>-0.5</v>
      </c>
      <c r="I77" s="11" t="s">
        <v>187</v>
      </c>
      <c r="J77" s="18" t="n">
        <v>4.49</v>
      </c>
      <c r="K77" s="19" t="n">
        <f>J77-C77</f>
        <v>0</v>
      </c>
      <c r="L77" s="26" t="n">
        <f>(J77-C77)/C77</f>
        <v>0</v>
      </c>
    </row>
    <row r="78" ht="16.5" customHeight="1">
      <c r="A78" s="21" t="s">
        <v>81</v>
      </c>
      <c r="B78" s="19" t="s">
        <v>204</v>
      </c>
      <c r="C78" s="20" t="n">
        <v>550</v>
      </c>
      <c r="D78" s="20" t="n">
        <v>425</v>
      </c>
      <c r="E78" s="20" t="n">
        <v>425</v>
      </c>
      <c r="F78" s="19" t="s">
        <v>204</v>
      </c>
      <c r="G78" s="23" t="n">
        <v>600</v>
      </c>
      <c r="H78" s="19" t="n">
        <f>G78-C78</f>
        <v>50</v>
      </c>
      <c r="I78" s="11" t="s">
        <v>204</v>
      </c>
      <c r="J78" s="18" t="n">
        <v>700</v>
      </c>
      <c r="K78" s="19" t="n">
        <f>J78-C78</f>
        <v>150</v>
      </c>
      <c r="L78" s="26" t="n">
        <f>(J78-C78)/C78</f>
        <v>0.272727272727273</v>
      </c>
    </row>
    <row r="79" ht="16.5" customHeight="1">
      <c r="A79" s="21" t="s">
        <v>82</v>
      </c>
      <c r="B79" s="19" t="s">
        <v>187</v>
      </c>
      <c r="C79" s="20" t="n">
        <v>4.49</v>
      </c>
      <c r="D79" s="20" t="n">
        <v>3.82</v>
      </c>
      <c r="E79" s="20" t="n">
        <v>3.82</v>
      </c>
      <c r="F79" s="19" t="s">
        <v>187</v>
      </c>
      <c r="G79" s="23" t="n">
        <v>3.99</v>
      </c>
      <c r="H79" s="19" t="n">
        <f>G79-C79</f>
        <v>-0.5</v>
      </c>
      <c r="I79" s="11" t="s">
        <v>187</v>
      </c>
      <c r="J79" s="18" t="n">
        <v>4.49</v>
      </c>
      <c r="K79" s="19" t="n">
        <f>J79-C79</f>
        <v>0</v>
      </c>
      <c r="L79" s="26" t="n">
        <f>(J79-C79)/C79</f>
        <v>0</v>
      </c>
    </row>
    <row r="80" ht="16.5" customHeight="1">
      <c r="A80" s="21" t="s">
        <v>83</v>
      </c>
      <c r="B80" s="19" t="s">
        <v>205</v>
      </c>
      <c r="C80" s="20" t="n">
        <v>2190</v>
      </c>
      <c r="D80" s="20" t="n">
        <v>1662.05</v>
      </c>
      <c r="E80" s="20" t="n">
        <v>1662.05</v>
      </c>
      <c r="F80" s="19" t="s">
        <v>205</v>
      </c>
      <c r="G80" s="23" t="n">
        <v>2490</v>
      </c>
      <c r="H80" s="19" t="n">
        <f>G80-C80</f>
        <v>300</v>
      </c>
      <c r="I80" s="11" t="s">
        <v>205</v>
      </c>
      <c r="J80" s="18" t="n">
        <v>2490</v>
      </c>
      <c r="K80" s="19" t="n">
        <f>J80-C80</f>
        <v>300</v>
      </c>
      <c r="L80" s="26" t="n">
        <f>(J80-C80)/C80</f>
        <v>0.136986301369863</v>
      </c>
    </row>
    <row r="81" ht="16.5" customHeight="1">
      <c r="A81" s="21" t="s">
        <v>84</v>
      </c>
      <c r="B81" s="19" t="s">
        <v>187</v>
      </c>
      <c r="C81" s="20" t="n">
        <v>5.49</v>
      </c>
      <c r="D81" s="20" t="n">
        <v>4.01</v>
      </c>
      <c r="E81" s="20" t="n">
        <v>4.01</v>
      </c>
      <c r="F81" s="19" t="s">
        <v>187</v>
      </c>
      <c r="G81" s="23" t="n">
        <v>4.99</v>
      </c>
      <c r="H81" s="19" t="n">
        <f>G81-C81</f>
        <v>-0.5</v>
      </c>
      <c r="I81" s="11" t="s">
        <v>187</v>
      </c>
      <c r="J81" s="18" t="n">
        <v>4.99</v>
      </c>
      <c r="K81" s="19" t="n">
        <f>J81-C81</f>
        <v>-0.5</v>
      </c>
      <c r="L81" s="26" t="n">
        <f>(J81-C81)/C81</f>
        <v>-0.0910746812386157</v>
      </c>
    </row>
    <row r="82" ht="16.5" customHeight="1">
      <c r="A82" s="21" t="s">
        <v>85</v>
      </c>
      <c r="B82" s="19" t="s">
        <v>206</v>
      </c>
      <c r="C82" s="20" t="n">
        <v>6000</v>
      </c>
      <c r="D82" s="20" t="n">
        <v>4636</v>
      </c>
      <c r="E82" s="20" t="n">
        <v>4636</v>
      </c>
      <c r="F82" s="19" t="s">
        <v>206</v>
      </c>
      <c r="G82" s="23" t="n">
        <v>5500</v>
      </c>
      <c r="H82" s="19" t="n">
        <f>G82-C82</f>
        <v>-500</v>
      </c>
      <c r="I82" s="11" t="s">
        <v>206</v>
      </c>
      <c r="J82" s="18" t="n">
        <v>6600</v>
      </c>
      <c r="K82" s="19" t="n">
        <f>J82-C82</f>
        <v>600</v>
      </c>
      <c r="L82" s="26" t="n">
        <f>(J82-C82)/C82</f>
        <v>0.1</v>
      </c>
    </row>
    <row r="83" ht="16.5" customHeight="1">
      <c r="A83" s="21" t="s">
        <v>86</v>
      </c>
      <c r="B83" s="19" t="s">
        <v>189</v>
      </c>
      <c r="C83" s="20" t="n">
        <v>4.99</v>
      </c>
      <c r="D83" s="20" t="n">
        <v>3.59</v>
      </c>
      <c r="E83" s="20" t="n">
        <v>3.59</v>
      </c>
      <c r="F83" s="19" t="s">
        <v>189</v>
      </c>
      <c r="G83" s="23" t="n">
        <v>4.99</v>
      </c>
      <c r="H83" s="19" t="n">
        <f>G83-C83</f>
        <v>0</v>
      </c>
      <c r="I83" s="11" t="s">
        <v>189</v>
      </c>
      <c r="J83" s="18" t="n">
        <v>4.99</v>
      </c>
      <c r="K83" s="19" t="n">
        <f>J83-C83</f>
        <v>0</v>
      </c>
      <c r="L83" s="26" t="n">
        <f>(J83-C83)/C83</f>
        <v>0</v>
      </c>
    </row>
    <row r="84" ht="16.5" customHeight="1">
      <c r="A84" s="21" t="s">
        <v>87</v>
      </c>
      <c r="B84" s="19" t="s">
        <v>187</v>
      </c>
      <c r="C84" s="20" t="n">
        <v>4.49</v>
      </c>
      <c r="D84" s="20" t="n">
        <v>3.82</v>
      </c>
      <c r="E84" s="20" t="n">
        <v>3.82</v>
      </c>
      <c r="F84" s="19" t="s">
        <v>187</v>
      </c>
      <c r="G84" s="23" t="n">
        <v>3.99</v>
      </c>
      <c r="H84" s="19" t="n">
        <f>G84-C84</f>
        <v>-0.5</v>
      </c>
      <c r="I84" s="11" t="s">
        <v>187</v>
      </c>
      <c r="J84" s="18" t="n">
        <v>4.49</v>
      </c>
      <c r="K84" s="19" t="n">
        <f>J84-C84</f>
        <v>0</v>
      </c>
      <c r="L84" s="26" t="n">
        <f>(J84-C84)/C84</f>
        <v>0</v>
      </c>
    </row>
    <row r="85" ht="16.5" customHeight="1">
      <c r="A85" s="21" t="s">
        <v>88</v>
      </c>
      <c r="B85" s="19" t="s">
        <v>187</v>
      </c>
      <c r="C85" s="20" t="n">
        <v>4.99</v>
      </c>
      <c r="D85" s="20" t="n">
        <v>3.79</v>
      </c>
      <c r="E85" s="20" t="n">
        <v>3.79</v>
      </c>
      <c r="F85" s="19" t="s">
        <v>187</v>
      </c>
      <c r="G85" s="23" t="n">
        <v>3.99</v>
      </c>
      <c r="H85" s="19" t="n">
        <f>G85-C85</f>
        <v>-1</v>
      </c>
      <c r="I85" s="11" t="s">
        <v>187</v>
      </c>
      <c r="J85" s="18" t="n">
        <v>4.99</v>
      </c>
      <c r="K85" s="19" t="n">
        <f>J85-C85</f>
        <v>0</v>
      </c>
      <c r="L85" s="26" t="n">
        <f>(J85-C85)/C85</f>
        <v>0</v>
      </c>
    </row>
    <row r="86" ht="16.5" customHeight="1">
      <c r="A86" s="21" t="s">
        <v>89</v>
      </c>
      <c r="B86" s="19" t="s">
        <v>187</v>
      </c>
      <c r="C86" s="20" t="n">
        <v>4.49</v>
      </c>
      <c r="D86" s="20" t="n">
        <v>3.47</v>
      </c>
      <c r="E86" s="20" t="n">
        <v>3.47</v>
      </c>
      <c r="F86" s="19" t="s">
        <v>187</v>
      </c>
      <c r="G86" s="23" t="n">
        <v>3.99</v>
      </c>
      <c r="H86" s="19" t="n">
        <f>G86-C86</f>
        <v>-0.5</v>
      </c>
      <c r="I86" s="11" t="s">
        <v>187</v>
      </c>
      <c r="J86" s="18" t="n">
        <v>4.99</v>
      </c>
      <c r="K86" s="19" t="n">
        <f>J86-C86</f>
        <v>0.5</v>
      </c>
      <c r="L86" s="26" t="n">
        <f>(J86-C86)/C86</f>
        <v>0.111358574610245</v>
      </c>
    </row>
    <row r="87" ht="16.5" customHeight="1">
      <c r="A87" s="21" t="s">
        <v>90</v>
      </c>
      <c r="B87" s="19" t="s">
        <v>189</v>
      </c>
      <c r="C87" s="20" t="n">
        <v>4.99</v>
      </c>
      <c r="D87" s="20" t="n">
        <v>3.51</v>
      </c>
      <c r="E87" s="20" t="n">
        <v>3.51</v>
      </c>
      <c r="F87" s="19" t="s">
        <v>189</v>
      </c>
      <c r="G87" s="23" t="n">
        <v>4.99</v>
      </c>
      <c r="H87" s="19" t="n">
        <f>G87-C87</f>
        <v>0</v>
      </c>
      <c r="I87" s="11" t="s">
        <v>189</v>
      </c>
      <c r="J87" s="18" t="n">
        <v>4.99</v>
      </c>
      <c r="K87" s="19" t="n">
        <f>J87-C87</f>
        <v>0</v>
      </c>
      <c r="L87" s="26" t="n">
        <f>(J87-C87)/C87</f>
        <v>0</v>
      </c>
    </row>
    <row r="88" ht="16.5" customHeight="1">
      <c r="A88" s="21" t="s">
        <v>91</v>
      </c>
      <c r="B88" s="19" t="s">
        <v>187</v>
      </c>
      <c r="C88" s="20" t="n">
        <v>4.49</v>
      </c>
      <c r="D88" s="20" t="n">
        <v>3.82</v>
      </c>
      <c r="E88" s="20" t="n">
        <v>3.82</v>
      </c>
      <c r="F88" s="19" t="s">
        <v>187</v>
      </c>
      <c r="G88" s="23" t="n">
        <v>3.99</v>
      </c>
      <c r="H88" s="19" t="n">
        <f>G88-C88</f>
        <v>-0.5</v>
      </c>
      <c r="I88" s="11" t="s">
        <v>187</v>
      </c>
      <c r="J88" s="18" t="n">
        <v>4.49</v>
      </c>
      <c r="K88" s="19" t="n">
        <f>J88-C88</f>
        <v>0</v>
      </c>
      <c r="L88" s="26" t="n">
        <f>(J88-C88)/C88</f>
        <v>0</v>
      </c>
    </row>
    <row r="89" ht="16.5" customHeight="1">
      <c r="A89" s="21" t="s">
        <v>92</v>
      </c>
      <c r="B89" s="19" t="s">
        <v>187</v>
      </c>
      <c r="C89" s="20" t="n">
        <v>4.49</v>
      </c>
      <c r="D89" s="20" t="n">
        <v>3.82</v>
      </c>
      <c r="E89" s="20" t="n">
        <v>3.82</v>
      </c>
      <c r="F89" s="19" t="s">
        <v>187</v>
      </c>
      <c r="G89" s="23" t="n">
        <v>3.99</v>
      </c>
      <c r="H89" s="19" t="n">
        <f>G89-C89</f>
        <v>-0.5</v>
      </c>
      <c r="I89" s="11" t="s">
        <v>187</v>
      </c>
      <c r="J89" s="18" t="n">
        <v>4.49</v>
      </c>
      <c r="K89" s="19" t="n">
        <f>J89-C89</f>
        <v>0</v>
      </c>
      <c r="L89" s="26" t="n">
        <f>(J89-C89)/C89</f>
        <v>0</v>
      </c>
    </row>
    <row r="90" ht="16.5" customHeight="1">
      <c r="A90" s="21" t="s">
        <v>93</v>
      </c>
      <c r="B90" s="19" t="s">
        <v>187</v>
      </c>
      <c r="C90" s="20" t="n">
        <v>4.49</v>
      </c>
      <c r="D90" s="20" t="n">
        <v>3.82</v>
      </c>
      <c r="E90" s="20" t="n">
        <v>3.82</v>
      </c>
      <c r="F90" s="19" t="s">
        <v>187</v>
      </c>
      <c r="G90" s="23" t="n">
        <v>3.99</v>
      </c>
      <c r="H90" s="19" t="n">
        <f>G90-C90</f>
        <v>-0.5</v>
      </c>
      <c r="I90" s="11" t="s">
        <v>187</v>
      </c>
      <c r="J90" s="18" t="n">
        <v>4.49</v>
      </c>
      <c r="K90" s="19" t="n">
        <f>J90-C90</f>
        <v>0</v>
      </c>
      <c r="L90" s="26" t="n">
        <f>(J90-C90)/C90</f>
        <v>0</v>
      </c>
    </row>
    <row r="91" ht="16.5" customHeight="1">
      <c r="A91" s="21" t="s">
        <v>94</v>
      </c>
      <c r="B91" s="19" t="s">
        <v>189</v>
      </c>
      <c r="C91" s="20" t="n">
        <v>4.99</v>
      </c>
      <c r="D91" s="20" t="n">
        <v>3.51</v>
      </c>
      <c r="E91" s="20" t="n">
        <v>3.51</v>
      </c>
      <c r="F91" s="19" t="s">
        <v>189</v>
      </c>
      <c r="G91" s="23" t="n">
        <v>4.99</v>
      </c>
      <c r="H91" s="19" t="n">
        <f>G91-C91</f>
        <v>0</v>
      </c>
      <c r="I91" s="11" t="s">
        <v>189</v>
      </c>
      <c r="J91" s="18" t="n">
        <v>4.99</v>
      </c>
      <c r="K91" s="19" t="n">
        <f>J91-C91</f>
        <v>0</v>
      </c>
      <c r="L91" s="26" t="n">
        <f>(J91-C91)/C91</f>
        <v>0</v>
      </c>
    </row>
    <row r="92" ht="16.5" customHeight="1">
      <c r="A92" s="21" t="s">
        <v>95</v>
      </c>
      <c r="B92" s="19" t="s">
        <v>189</v>
      </c>
      <c r="C92" s="20" t="n">
        <v>4.99</v>
      </c>
      <c r="D92" s="20" t="n">
        <v>3.63</v>
      </c>
      <c r="E92" s="20" t="n">
        <v>3.63</v>
      </c>
      <c r="F92" s="19" t="s">
        <v>189</v>
      </c>
      <c r="G92" s="23" t="n">
        <v>4.99</v>
      </c>
      <c r="H92" s="19" t="n">
        <f>G92-C92</f>
        <v>0</v>
      </c>
      <c r="I92" s="11" t="s">
        <v>189</v>
      </c>
      <c r="J92" s="18" t="n">
        <v>4.99</v>
      </c>
      <c r="K92" s="19" t="n">
        <f>J92-C92</f>
        <v>0</v>
      </c>
      <c r="L92" s="26" t="n">
        <f>(J92-C92)/C92</f>
        <v>0</v>
      </c>
    </row>
    <row r="93" ht="16.5" customHeight="1">
      <c r="A93" s="21" t="s">
        <v>96</v>
      </c>
      <c r="B93" s="19" t="s">
        <v>187</v>
      </c>
      <c r="C93" s="20" t="n">
        <v>4.49</v>
      </c>
      <c r="D93" s="20" t="n">
        <v>3.82</v>
      </c>
      <c r="E93" s="20" t="n">
        <v>3.82</v>
      </c>
      <c r="F93" s="19" t="s">
        <v>187</v>
      </c>
      <c r="G93" s="23" t="n">
        <v>3.99</v>
      </c>
      <c r="H93" s="19" t="n">
        <f>G93-C93</f>
        <v>-0.5</v>
      </c>
      <c r="I93" s="11" t="s">
        <v>187</v>
      </c>
      <c r="J93" s="18" t="n">
        <v>4.49</v>
      </c>
      <c r="K93" s="19" t="n">
        <f>J93-C93</f>
        <v>0</v>
      </c>
      <c r="L93" s="26" t="n">
        <f>(J93-C93)/C93</f>
        <v>0</v>
      </c>
    </row>
    <row r="94" ht="16.5" customHeight="1">
      <c r="A94" s="21" t="s">
        <v>97</v>
      </c>
      <c r="B94" s="19" t="s">
        <v>187</v>
      </c>
      <c r="C94" s="20" t="n">
        <v>4.49</v>
      </c>
      <c r="D94" s="20" t="n">
        <v>3.82</v>
      </c>
      <c r="E94" s="20" t="n">
        <v>3.82</v>
      </c>
      <c r="F94" s="19" t="s">
        <v>187</v>
      </c>
      <c r="G94" s="23" t="n">
        <v>3.99</v>
      </c>
      <c r="H94" s="19" t="n">
        <f>G94-C94</f>
        <v>-0.5</v>
      </c>
      <c r="I94" s="11" t="s">
        <v>187</v>
      </c>
      <c r="J94" s="18" t="n">
        <v>4.49</v>
      </c>
      <c r="K94" s="19" t="n">
        <f>J94-C94</f>
        <v>0</v>
      </c>
      <c r="L94" s="26" t="n">
        <f>(J94-C94)/C94</f>
        <v>0</v>
      </c>
    </row>
    <row r="95" ht="16.5" customHeight="1">
      <c r="A95" s="21" t="s">
        <v>98</v>
      </c>
      <c r="B95" s="19" t="s">
        <v>187</v>
      </c>
      <c r="C95" s="20" t="n">
        <v>4.49</v>
      </c>
      <c r="D95" s="20" t="n">
        <v>3.82</v>
      </c>
      <c r="E95" s="20" t="n">
        <v>3.82</v>
      </c>
      <c r="F95" s="19" t="s">
        <v>187</v>
      </c>
      <c r="G95" s="23" t="n">
        <v>3.99</v>
      </c>
      <c r="H95" s="19" t="n">
        <f>G95-C95</f>
        <v>-0.5</v>
      </c>
      <c r="I95" s="11" t="s">
        <v>187</v>
      </c>
      <c r="J95" s="18" t="n">
        <v>4.49</v>
      </c>
      <c r="K95" s="19" t="n">
        <f>J95-C95</f>
        <v>0</v>
      </c>
      <c r="L95" s="26" t="n">
        <f>(J95-C95)/C95</f>
        <v>0</v>
      </c>
    </row>
    <row r="96" ht="16.5" customHeight="1">
      <c r="A96" s="21" t="s">
        <v>99</v>
      </c>
      <c r="B96" s="19" t="s">
        <v>207</v>
      </c>
      <c r="C96" s="20" t="n">
        <v>20.9</v>
      </c>
      <c r="D96" s="20" t="n">
        <v>16.45</v>
      </c>
      <c r="E96" s="20" t="n">
        <v>16.45</v>
      </c>
      <c r="F96" s="19" t="s">
        <v>207</v>
      </c>
      <c r="G96" s="23" t="n">
        <v>19.9</v>
      </c>
      <c r="H96" s="19" t="n">
        <f>G96-C96</f>
        <v>-1</v>
      </c>
      <c r="I96" s="11" t="s">
        <v>207</v>
      </c>
      <c r="J96" s="18" t="n">
        <v>20.9</v>
      </c>
      <c r="K96" s="19" t="n">
        <f>J96-C96</f>
        <v>0</v>
      </c>
      <c r="L96" s="26" t="n">
        <f>(J96-C96)/C96</f>
        <v>0</v>
      </c>
    </row>
    <row r="97" ht="16.5" customHeight="1">
      <c r="A97" s="21" t="s">
        <v>100</v>
      </c>
      <c r="B97" s="19" t="s">
        <v>187</v>
      </c>
      <c r="C97" s="20" t="n">
        <v>4.49</v>
      </c>
      <c r="D97" s="20" t="n">
        <v>3.82</v>
      </c>
      <c r="E97" s="20" t="n">
        <v>3.82</v>
      </c>
      <c r="F97" s="19" t="s">
        <v>187</v>
      </c>
      <c r="G97" s="23" t="n">
        <v>3.99</v>
      </c>
      <c r="H97" s="19" t="n">
        <f>G97-C97</f>
        <v>-0.5</v>
      </c>
      <c r="I97" s="11" t="s">
        <v>187</v>
      </c>
      <c r="J97" s="18" t="n">
        <v>4.49</v>
      </c>
      <c r="K97" s="19" t="n">
        <f>J97-C97</f>
        <v>0</v>
      </c>
      <c r="L97" s="26" t="n">
        <f>(J97-C97)/C97</f>
        <v>0</v>
      </c>
    </row>
    <row r="98" ht="16.5" customHeight="1">
      <c r="A98" s="21" t="s">
        <v>101</v>
      </c>
      <c r="B98" s="19" t="s">
        <v>187</v>
      </c>
      <c r="C98" s="20" t="n">
        <v>4.49</v>
      </c>
      <c r="D98" s="20" t="n">
        <v>3.82</v>
      </c>
      <c r="E98" s="20" t="n">
        <v>3.82</v>
      </c>
      <c r="F98" s="19" t="s">
        <v>187</v>
      </c>
      <c r="G98" s="23" t="n">
        <v>3.99</v>
      </c>
      <c r="H98" s="19" t="n">
        <f>G98-C98</f>
        <v>-0.5</v>
      </c>
      <c r="I98" s="11" t="s">
        <v>187</v>
      </c>
      <c r="J98" s="18" t="n">
        <v>4.49</v>
      </c>
      <c r="K98" s="19" t="n">
        <f>J98-C98</f>
        <v>0</v>
      </c>
      <c r="L98" s="26" t="n">
        <f>(J98-C98)/C98</f>
        <v>0</v>
      </c>
    </row>
    <row r="99" ht="16.5" customHeight="1">
      <c r="A99" s="21" t="s">
        <v>102</v>
      </c>
      <c r="B99" s="19" t="s">
        <v>189</v>
      </c>
      <c r="C99" s="20" t="n">
        <v>4.99</v>
      </c>
      <c r="D99" s="20" t="n">
        <v>3.59</v>
      </c>
      <c r="E99" s="20" t="n">
        <v>3.59</v>
      </c>
      <c r="F99" s="19" t="s">
        <v>189</v>
      </c>
      <c r="G99" s="23" t="n">
        <v>4.99</v>
      </c>
      <c r="H99" s="19" t="n">
        <f>G99-C99</f>
        <v>0</v>
      </c>
      <c r="I99" s="11" t="s">
        <v>189</v>
      </c>
      <c r="J99" s="18" t="n">
        <v>4.99</v>
      </c>
      <c r="K99" s="19" t="n">
        <f>J99-C99</f>
        <v>0</v>
      </c>
      <c r="L99" s="26" t="n">
        <f>(J99-C99)/C99</f>
        <v>0</v>
      </c>
    </row>
    <row r="100" ht="16.5" customHeight="1">
      <c r="A100" s="21" t="s">
        <v>103</v>
      </c>
      <c r="B100" s="19" t="s">
        <v>187</v>
      </c>
      <c r="C100" s="20" t="n">
        <v>4.49</v>
      </c>
      <c r="D100" s="20" t="n">
        <v>3.82</v>
      </c>
      <c r="E100" s="20" t="n">
        <v>3.82</v>
      </c>
      <c r="F100" s="19" t="s">
        <v>187</v>
      </c>
      <c r="G100" s="23" t="n">
        <v>3.99</v>
      </c>
      <c r="H100" s="19" t="n">
        <f>G100-C100</f>
        <v>-0.5</v>
      </c>
      <c r="I100" s="11" t="s">
        <v>187</v>
      </c>
      <c r="J100" s="18" t="n">
        <v>4.49</v>
      </c>
      <c r="K100" s="19" t="n">
        <f>J100-C100</f>
        <v>0</v>
      </c>
      <c r="L100" s="26" t="n">
        <f>(J100-C100)/C100</f>
        <v>0</v>
      </c>
    </row>
    <row r="101" ht="16.5" customHeight="1">
      <c r="A101" s="21" t="s">
        <v>104</v>
      </c>
      <c r="B101" s="19" t="s">
        <v>187</v>
      </c>
      <c r="C101" s="20" t="n">
        <v>4.49</v>
      </c>
      <c r="D101" s="20" t="n">
        <v>3.82</v>
      </c>
      <c r="E101" s="20" t="n">
        <v>3.82</v>
      </c>
      <c r="F101" s="19" t="s">
        <v>187</v>
      </c>
      <c r="G101" s="23" t="n">
        <v>3.99</v>
      </c>
      <c r="H101" s="19" t="n">
        <f>G101-C101</f>
        <v>-0.5</v>
      </c>
      <c r="I101" s="11" t="s">
        <v>187</v>
      </c>
      <c r="J101" s="18" t="n">
        <v>4.49</v>
      </c>
      <c r="K101" s="19" t="n">
        <f>J101-C101</f>
        <v>0</v>
      </c>
      <c r="L101" s="26" t="n">
        <f>(J101-C101)/C101</f>
        <v>0</v>
      </c>
    </row>
    <row r="102" ht="16.5" customHeight="1">
      <c r="A102" s="21" t="s">
        <v>105</v>
      </c>
      <c r="B102" s="19" t="s">
        <v>208</v>
      </c>
      <c r="C102" s="20" t="n">
        <v>115</v>
      </c>
      <c r="D102" s="20" t="n">
        <v>84.27</v>
      </c>
      <c r="E102" s="20" t="n">
        <v>84.27</v>
      </c>
      <c r="F102" s="19" t="s">
        <v>208</v>
      </c>
      <c r="G102" s="23" t="n">
        <v>89</v>
      </c>
      <c r="H102" s="19" t="n">
        <f>G102-C102</f>
        <v>-26</v>
      </c>
      <c r="I102" s="11" t="s">
        <v>208</v>
      </c>
      <c r="J102" s="18" t="n">
        <v>115</v>
      </c>
      <c r="K102" s="19" t="n">
        <f>J102-C102</f>
        <v>0</v>
      </c>
      <c r="L102" s="26" t="n">
        <f>(J102-C102)/C102</f>
        <v>0</v>
      </c>
    </row>
    <row r="103" ht="16.5" customHeight="1">
      <c r="A103" s="21" t="s">
        <v>106</v>
      </c>
      <c r="B103" s="19" t="s">
        <v>187</v>
      </c>
      <c r="C103" s="20" t="n">
        <v>4.49</v>
      </c>
      <c r="D103" s="20" t="n">
        <v>3.82</v>
      </c>
      <c r="E103" s="20" t="n">
        <v>3.82</v>
      </c>
      <c r="F103" s="19" t="s">
        <v>187</v>
      </c>
      <c r="G103" s="23" t="n">
        <v>3.99</v>
      </c>
      <c r="H103" s="19" t="n">
        <f>G103-C103</f>
        <v>-0.5</v>
      </c>
      <c r="I103" s="11" t="s">
        <v>187</v>
      </c>
      <c r="J103" s="18" t="n">
        <v>4.49</v>
      </c>
      <c r="K103" s="19" t="n">
        <f>J103-C103</f>
        <v>0</v>
      </c>
      <c r="L103" s="26" t="n">
        <f>(J103-C103)/C103</f>
        <v>0</v>
      </c>
    </row>
    <row r="104" ht="16.5" customHeight="1">
      <c r="A104" s="21" t="s">
        <v>107</v>
      </c>
      <c r="B104" s="19" t="s">
        <v>187</v>
      </c>
      <c r="C104" s="20" t="n">
        <v>5.49</v>
      </c>
      <c r="D104" s="20" t="n">
        <v>3.89</v>
      </c>
      <c r="E104" s="20" t="n">
        <v>3.89</v>
      </c>
      <c r="F104" s="19" t="s">
        <v>187</v>
      </c>
      <c r="G104" s="23" t="n">
        <v>4.99</v>
      </c>
      <c r="H104" s="19" t="n">
        <f>G104-C104</f>
        <v>-0.5</v>
      </c>
      <c r="I104" s="11" t="s">
        <v>187</v>
      </c>
      <c r="J104" s="18" t="n">
        <v>4.99</v>
      </c>
      <c r="K104" s="19" t="n">
        <f>J104-C104</f>
        <v>-0.5</v>
      </c>
      <c r="L104" s="26" t="n">
        <f>(J104-C104)/C104</f>
        <v>-0.0910746812386157</v>
      </c>
    </row>
    <row r="105" ht="16.5" customHeight="1">
      <c r="A105" s="21" t="s">
        <v>108</v>
      </c>
      <c r="B105" s="19" t="s">
        <v>187</v>
      </c>
      <c r="C105" s="20" t="n">
        <v>4.49</v>
      </c>
      <c r="D105" s="20" t="n">
        <v>3.82</v>
      </c>
      <c r="E105" s="20" t="n">
        <v>3.82</v>
      </c>
      <c r="F105" s="19" t="s">
        <v>187</v>
      </c>
      <c r="G105" s="23" t="n">
        <v>3.99</v>
      </c>
      <c r="H105" s="19" t="n">
        <f>G105-C105</f>
        <v>-0.5</v>
      </c>
      <c r="I105" s="11" t="s">
        <v>187</v>
      </c>
      <c r="J105" s="18" t="n">
        <v>4.49</v>
      </c>
      <c r="K105" s="19" t="n">
        <f>J105-C105</f>
        <v>0</v>
      </c>
      <c r="L105" s="26" t="n">
        <f>(J105-C105)/C105</f>
        <v>0</v>
      </c>
    </row>
    <row r="106" ht="16.5" customHeight="1">
      <c r="A106" s="21" t="s">
        <v>109</v>
      </c>
      <c r="B106" s="19" t="s">
        <v>189</v>
      </c>
      <c r="C106" s="20" t="n">
        <v>3.99</v>
      </c>
      <c r="D106" s="20" t="n">
        <v>3.39</v>
      </c>
      <c r="E106" s="20" t="n">
        <v>3.39</v>
      </c>
      <c r="F106" s="19" t="s">
        <v>189</v>
      </c>
      <c r="G106" s="23" t="n">
        <v>3.99</v>
      </c>
      <c r="H106" s="19" t="n">
        <f>G106-C106</f>
        <v>0</v>
      </c>
      <c r="I106" s="11" t="s">
        <v>189</v>
      </c>
      <c r="J106" s="18" t="n">
        <v>3.99</v>
      </c>
      <c r="K106" s="19" t="n">
        <f>J106-C106</f>
        <v>0</v>
      </c>
      <c r="L106" s="26" t="n">
        <f>(J106-C106)/C106</f>
        <v>0</v>
      </c>
    </row>
    <row r="107" ht="16.5" customHeight="1">
      <c r="A107" s="21" t="s">
        <v>110</v>
      </c>
      <c r="B107" s="19" t="s">
        <v>187</v>
      </c>
      <c r="C107" s="20" t="n">
        <v>4.49</v>
      </c>
      <c r="D107" s="20" t="n">
        <v>3.82</v>
      </c>
      <c r="E107" s="20" t="n">
        <v>3.82</v>
      </c>
      <c r="F107" s="19" t="s">
        <v>187</v>
      </c>
      <c r="G107" s="23" t="n">
        <v>3.99</v>
      </c>
      <c r="H107" s="19" t="n">
        <f>G107-C107</f>
        <v>-0.5</v>
      </c>
      <c r="I107" s="11" t="s">
        <v>187</v>
      </c>
      <c r="J107" s="18" t="n">
        <v>4.49</v>
      </c>
      <c r="K107" s="19" t="n">
        <f>J107-C107</f>
        <v>0</v>
      </c>
      <c r="L107" s="26" t="n">
        <f>(J107-C107)/C107</f>
        <v>0</v>
      </c>
    </row>
    <row r="108" ht="16.5" customHeight="1">
      <c r="A108" s="21" t="s">
        <v>111</v>
      </c>
      <c r="B108" s="19" t="s">
        <v>187</v>
      </c>
      <c r="C108" s="20" t="n">
        <v>4.49</v>
      </c>
      <c r="D108" s="20" t="n">
        <v>3.82</v>
      </c>
      <c r="E108" s="20" t="n">
        <v>3.82</v>
      </c>
      <c r="F108" s="19" t="s">
        <v>187</v>
      </c>
      <c r="G108" s="23" t="n">
        <v>3.99</v>
      </c>
      <c r="H108" s="19" t="n">
        <f>G108-C108</f>
        <v>-0.5</v>
      </c>
      <c r="I108" s="11" t="s">
        <v>187</v>
      </c>
      <c r="J108" s="18" t="n">
        <v>4.49</v>
      </c>
      <c r="K108" s="19" t="n">
        <f>J108-C108</f>
        <v>0</v>
      </c>
      <c r="L108" s="26" t="n">
        <f>(J108-C108)/C108</f>
        <v>0</v>
      </c>
    </row>
    <row r="109" ht="16.5" customHeight="1">
      <c r="A109" s="21" t="s">
        <v>112</v>
      </c>
      <c r="B109" s="19" t="s">
        <v>187</v>
      </c>
      <c r="C109" s="20" t="n">
        <v>4.49</v>
      </c>
      <c r="D109" s="20" t="n">
        <v>3.82</v>
      </c>
      <c r="E109" s="20" t="n">
        <v>3.82</v>
      </c>
      <c r="F109" s="19" t="s">
        <v>187</v>
      </c>
      <c r="G109" s="23" t="n">
        <v>3.99</v>
      </c>
      <c r="H109" s="19" t="n">
        <f>G109-C109</f>
        <v>-0.5</v>
      </c>
      <c r="I109" s="11" t="s">
        <v>187</v>
      </c>
      <c r="J109" s="18" t="n">
        <v>4.49</v>
      </c>
      <c r="K109" s="19" t="n">
        <f>J109-C109</f>
        <v>0</v>
      </c>
      <c r="L109" s="26" t="n">
        <f>(J109-C109)/C109</f>
        <v>0</v>
      </c>
    </row>
    <row r="110" ht="16.5" customHeight="1">
      <c r="A110" s="21" t="s">
        <v>113</v>
      </c>
      <c r="B110" s="19" t="s">
        <v>187</v>
      </c>
      <c r="C110" s="20" t="n">
        <v>4.49</v>
      </c>
      <c r="D110" s="20" t="n">
        <v>3.82</v>
      </c>
      <c r="E110" s="20" t="n">
        <v>3.82</v>
      </c>
      <c r="F110" s="19" t="s">
        <v>187</v>
      </c>
      <c r="G110" s="23" t="n">
        <v>3.99</v>
      </c>
      <c r="H110" s="19" t="n">
        <f>G110-C110</f>
        <v>-0.5</v>
      </c>
      <c r="I110" s="11" t="s">
        <v>187</v>
      </c>
      <c r="J110" s="18" t="n">
        <v>4.49</v>
      </c>
      <c r="K110" s="19" t="n">
        <f>J110-C110</f>
        <v>0</v>
      </c>
      <c r="L110" s="26" t="n">
        <f>(J110-C110)/C110</f>
        <v>0</v>
      </c>
    </row>
    <row r="111" ht="16.5" customHeight="1">
      <c r="A111" s="21" t="s">
        <v>114</v>
      </c>
      <c r="B111" s="19" t="s">
        <v>187</v>
      </c>
      <c r="C111" s="20" t="n">
        <v>4.49</v>
      </c>
      <c r="D111" s="20" t="n">
        <v>3.82</v>
      </c>
      <c r="E111" s="20" t="n">
        <v>3.82</v>
      </c>
      <c r="F111" s="19" t="s">
        <v>187</v>
      </c>
      <c r="G111" s="23" t="n">
        <v>3.99</v>
      </c>
      <c r="H111" s="19" t="n">
        <f>G111-C111</f>
        <v>-0.5</v>
      </c>
      <c r="I111" s="11" t="s">
        <v>187</v>
      </c>
      <c r="J111" s="18" t="n">
        <v>4.49</v>
      </c>
      <c r="K111" s="19" t="n">
        <f>J111-C111</f>
        <v>0</v>
      </c>
      <c r="L111" s="26" t="n">
        <f>(J111-C111)/C111</f>
        <v>0</v>
      </c>
    </row>
    <row r="112" ht="16.5" customHeight="1">
      <c r="A112" s="21" t="s">
        <v>115</v>
      </c>
      <c r="B112" s="19" t="s">
        <v>187</v>
      </c>
      <c r="C112" s="20" t="n">
        <v>4.49</v>
      </c>
      <c r="D112" s="20" t="n">
        <v>3.82</v>
      </c>
      <c r="E112" s="20" t="n">
        <v>3.82</v>
      </c>
      <c r="F112" s="19" t="s">
        <v>187</v>
      </c>
      <c r="G112" s="23" t="n">
        <v>3.99</v>
      </c>
      <c r="H112" s="19" t="n">
        <f>G112-C112</f>
        <v>-0.5</v>
      </c>
      <c r="I112" s="11" t="s">
        <v>187</v>
      </c>
      <c r="J112" s="18" t="n">
        <v>4.49</v>
      </c>
      <c r="K112" s="19" t="n">
        <f>J112-C112</f>
        <v>0</v>
      </c>
      <c r="L112" s="26" t="n">
        <f>(J112-C112)/C112</f>
        <v>0</v>
      </c>
    </row>
    <row r="113" ht="16.5" customHeight="1">
      <c r="A113" s="21" t="s">
        <v>116</v>
      </c>
      <c r="B113" s="19" t="s">
        <v>187</v>
      </c>
      <c r="C113" s="20" t="n">
        <v>4.49</v>
      </c>
      <c r="D113" s="20" t="n">
        <v>3.31</v>
      </c>
      <c r="E113" s="20" t="n">
        <v>3.31</v>
      </c>
      <c r="F113" s="19" t="s">
        <v>187</v>
      </c>
      <c r="G113" s="23" t="n">
        <v>4.99</v>
      </c>
      <c r="H113" s="19" t="n">
        <f>G113-C113</f>
        <v>0.5</v>
      </c>
      <c r="I113" s="11" t="s">
        <v>187</v>
      </c>
      <c r="J113" s="18" t="n">
        <v>4.99</v>
      </c>
      <c r="K113" s="19" t="n">
        <f>J113-C113</f>
        <v>0.5</v>
      </c>
      <c r="L113" s="26" t="n">
        <f>(J113-C113)/C113</f>
        <v>0.111358574610245</v>
      </c>
    </row>
    <row r="114" ht="16.5" customHeight="1">
      <c r="A114" s="21" t="s">
        <v>117</v>
      </c>
      <c r="B114" s="19" t="s">
        <v>189</v>
      </c>
      <c r="C114" s="20" t="n">
        <v>4.99</v>
      </c>
      <c r="D114" s="20" t="n">
        <v>3.51</v>
      </c>
      <c r="E114" s="20" t="n">
        <v>3.51</v>
      </c>
      <c r="F114" s="19" t="s">
        <v>189</v>
      </c>
      <c r="G114" s="23" t="n">
        <v>4.99</v>
      </c>
      <c r="H114" s="19" t="n">
        <f>G114-C114</f>
        <v>0</v>
      </c>
      <c r="I114" s="11" t="s">
        <v>189</v>
      </c>
      <c r="J114" s="18" t="n">
        <v>4.99</v>
      </c>
      <c r="K114" s="19" t="n">
        <f>J114-C114</f>
        <v>0</v>
      </c>
      <c r="L114" s="26" t="n">
        <f>(J114-C114)/C114</f>
        <v>0</v>
      </c>
    </row>
    <row r="115" ht="16.5" customHeight="1">
      <c r="A115" s="21" t="s">
        <v>118</v>
      </c>
      <c r="B115" s="19" t="s">
        <v>209</v>
      </c>
      <c r="C115" s="20" t="n">
        <v>7.49</v>
      </c>
      <c r="D115" s="20" t="n">
        <v>5.54</v>
      </c>
      <c r="E115" s="20" t="n">
        <v>5.54</v>
      </c>
      <c r="F115" s="19" t="s">
        <v>209</v>
      </c>
      <c r="G115" s="23" t="n">
        <v>6.99</v>
      </c>
      <c r="H115" s="19" t="n">
        <f>G115-C115</f>
        <v>-0.5</v>
      </c>
      <c r="I115" s="11" t="s">
        <v>209</v>
      </c>
      <c r="J115" s="18" t="n">
        <v>7.99</v>
      </c>
      <c r="K115" s="19" t="n">
        <f>J115-C115</f>
        <v>0.5</v>
      </c>
      <c r="L115" s="26" t="n">
        <f>(J115-C115)/C115</f>
        <v>0.0667556742323097</v>
      </c>
    </row>
    <row r="116" ht="16.5" customHeight="1">
      <c r="A116" s="21" t="s">
        <v>119</v>
      </c>
      <c r="B116" s="19" t="s">
        <v>187</v>
      </c>
      <c r="C116" s="20" t="n">
        <v>4.49</v>
      </c>
      <c r="D116" s="20" t="n">
        <v>3.82</v>
      </c>
      <c r="E116" s="20" t="n">
        <v>3.82</v>
      </c>
      <c r="F116" s="19" t="s">
        <v>187</v>
      </c>
      <c r="G116" s="23" t="n">
        <v>3.99</v>
      </c>
      <c r="H116" s="19" t="n">
        <f>G116-C116</f>
        <v>-0.5</v>
      </c>
      <c r="I116" s="11" t="s">
        <v>187</v>
      </c>
      <c r="J116" s="18" t="n">
        <v>4.49</v>
      </c>
      <c r="K116" s="19" t="n">
        <f>J116-C116</f>
        <v>0</v>
      </c>
      <c r="L116" s="26" t="n">
        <f>(J116-C116)/C116</f>
        <v>0</v>
      </c>
    </row>
    <row r="117" ht="16.5" customHeight="1">
      <c r="A117" s="21" t="s">
        <v>120</v>
      </c>
      <c r="B117" s="19" t="s">
        <v>187</v>
      </c>
      <c r="C117" s="20" t="n">
        <v>4.49</v>
      </c>
      <c r="D117" s="20" t="n">
        <v>3.82</v>
      </c>
      <c r="E117" s="20" t="n">
        <v>3.82</v>
      </c>
      <c r="F117" s="19" t="s">
        <v>187</v>
      </c>
      <c r="G117" s="23" t="n">
        <v>3.99</v>
      </c>
      <c r="H117" s="19" t="n">
        <f>G117-C117</f>
        <v>-0.5</v>
      </c>
      <c r="I117" s="11" t="s">
        <v>187</v>
      </c>
      <c r="J117" s="18" t="n">
        <v>4.49</v>
      </c>
      <c r="K117" s="19" t="n">
        <f>J117-C117</f>
        <v>0</v>
      </c>
      <c r="L117" s="26" t="n">
        <f>(J117-C117)/C117</f>
        <v>0</v>
      </c>
    </row>
    <row r="118" ht="16.5" customHeight="1">
      <c r="A118" s="21" t="s">
        <v>121</v>
      </c>
      <c r="B118" s="19" t="s">
        <v>210</v>
      </c>
      <c r="C118" s="20" t="n">
        <v>2000</v>
      </c>
      <c r="D118" s="20" t="n">
        <v>1581.4</v>
      </c>
      <c r="E118" s="20" t="n">
        <v>1581.4</v>
      </c>
      <c r="F118" s="19" t="s">
        <v>210</v>
      </c>
      <c r="G118" s="23" t="n">
        <v>6900</v>
      </c>
      <c r="H118" s="19" t="n">
        <f>G118-C118</f>
        <v>4900</v>
      </c>
      <c r="I118" s="11" t="s">
        <v>210</v>
      </c>
      <c r="J118" s="18" t="n">
        <v>6900</v>
      </c>
      <c r="K118" s="19" t="n">
        <f>J118-C118</f>
        <v>4900</v>
      </c>
      <c r="L118" s="26" t="n">
        <f>(J118-C118)/C118</f>
        <v>2.45</v>
      </c>
    </row>
    <row r="119" ht="16.5" customHeight="1">
      <c r="A119" s="21" t="s">
        <v>122</v>
      </c>
      <c r="B119" s="19" t="s">
        <v>187</v>
      </c>
      <c r="C119" s="20" t="n">
        <v>4.49</v>
      </c>
      <c r="D119" s="20" t="n">
        <v>3.82</v>
      </c>
      <c r="E119" s="20" t="n">
        <v>3.82</v>
      </c>
      <c r="F119" s="19" t="s">
        <v>187</v>
      </c>
      <c r="G119" s="23" t="n">
        <v>3.99</v>
      </c>
      <c r="H119" s="19" t="n">
        <f>G119-C119</f>
        <v>-0.5</v>
      </c>
      <c r="I119" s="11" t="s">
        <v>187</v>
      </c>
      <c r="J119" s="18" t="n">
        <v>4.49</v>
      </c>
      <c r="K119" s="19" t="n">
        <f>J119-C119</f>
        <v>0</v>
      </c>
      <c r="L119" s="26" t="n">
        <f>(J119-C119)/C119</f>
        <v>0</v>
      </c>
    </row>
    <row r="120" ht="16.5" customHeight="1">
      <c r="A120" s="21" t="s">
        <v>123</v>
      </c>
      <c r="B120" s="19" t="s">
        <v>211</v>
      </c>
      <c r="C120" s="20" t="n">
        <v>49</v>
      </c>
      <c r="D120" s="20" t="n">
        <v>33.32</v>
      </c>
      <c r="E120" s="20" t="n">
        <v>33.32</v>
      </c>
      <c r="F120" s="19" t="s">
        <v>211</v>
      </c>
      <c r="G120" s="23" t="n">
        <v>49</v>
      </c>
      <c r="H120" s="19" t="n">
        <f>G120-C120</f>
        <v>0</v>
      </c>
      <c r="I120" s="11" t="s">
        <v>211</v>
      </c>
      <c r="J120" s="18" t="n">
        <v>59</v>
      </c>
      <c r="K120" s="19" t="n">
        <f>J120-C120</f>
        <v>10</v>
      </c>
      <c r="L120" s="26" t="n">
        <f>(J120-C120)/C120</f>
        <v>0.204081632653061</v>
      </c>
    </row>
    <row r="121" ht="16.5" customHeight="1">
      <c r="A121" s="21" t="s">
        <v>124</v>
      </c>
      <c r="B121" s="19" t="s">
        <v>187</v>
      </c>
      <c r="C121" s="20" t="n">
        <v>4.99</v>
      </c>
      <c r="D121" s="20" t="n">
        <v>4.04</v>
      </c>
      <c r="E121" s="20" t="n">
        <v>4.04</v>
      </c>
      <c r="F121" s="19" t="s">
        <v>187</v>
      </c>
      <c r="G121" s="23" t="n">
        <v>3.99</v>
      </c>
      <c r="H121" s="19" t="n">
        <f>G121-C121</f>
        <v>-1</v>
      </c>
      <c r="I121" s="11" t="s">
        <v>187</v>
      </c>
      <c r="J121" s="18" t="n">
        <v>4.49</v>
      </c>
      <c r="K121" s="19" t="n">
        <f>J121-C121</f>
        <v>-0.5</v>
      </c>
      <c r="L121" s="26" t="n">
        <f>(J121-C121)/C121</f>
        <v>-0.100200400801603</v>
      </c>
    </row>
    <row r="122" ht="16.5" customHeight="1">
      <c r="A122" s="21" t="s">
        <v>125</v>
      </c>
      <c r="B122" s="19" t="s">
        <v>212</v>
      </c>
      <c r="C122" s="20" t="n">
        <v>800</v>
      </c>
      <c r="D122" s="20" t="n">
        <v>680</v>
      </c>
      <c r="E122" s="20" t="n">
        <v>680</v>
      </c>
      <c r="F122" s="19" t="s">
        <v>212</v>
      </c>
      <c r="G122" s="23" t="n">
        <v>1100</v>
      </c>
      <c r="H122" s="19" t="n">
        <f>G122-C122</f>
        <v>300</v>
      </c>
      <c r="I122" s="11" t="s">
        <v>212</v>
      </c>
      <c r="J122" s="18" t="n">
        <v>1200</v>
      </c>
      <c r="K122" s="19" t="n">
        <f>J122-C122</f>
        <v>400</v>
      </c>
      <c r="L122" s="26" t="n">
        <f>(J122-C122)/C122</f>
        <v>0.5</v>
      </c>
    </row>
    <row r="123" ht="16.5" customHeight="1">
      <c r="A123" s="21" t="s">
        <v>126</v>
      </c>
      <c r="B123" s="19" t="s">
        <v>187</v>
      </c>
      <c r="C123" s="20" t="n">
        <v>4.49</v>
      </c>
      <c r="D123" s="20" t="n">
        <v>3.82</v>
      </c>
      <c r="E123" s="20" t="n">
        <v>3.82</v>
      </c>
      <c r="F123" s="19" t="s">
        <v>187</v>
      </c>
      <c r="G123" s="23" t="n">
        <v>3.99</v>
      </c>
      <c r="H123" s="19" t="n">
        <f>G123-C123</f>
        <v>-0.5</v>
      </c>
      <c r="I123" s="11" t="s">
        <v>187</v>
      </c>
      <c r="J123" s="18" t="n">
        <v>4.49</v>
      </c>
      <c r="K123" s="19" t="n">
        <f>J123-C123</f>
        <v>0</v>
      </c>
      <c r="L123" s="26" t="n">
        <f>(J123-C123)/C123</f>
        <v>0</v>
      </c>
    </row>
    <row r="124" ht="16.5" customHeight="1">
      <c r="A124" s="21" t="s">
        <v>127</v>
      </c>
      <c r="B124" s="19" t="s">
        <v>187</v>
      </c>
      <c r="C124" s="20" t="n">
        <v>4.49</v>
      </c>
      <c r="D124" s="20" t="n">
        <v>3.82</v>
      </c>
      <c r="E124" s="20" t="n">
        <v>3.82</v>
      </c>
      <c r="F124" s="19" t="s">
        <v>187</v>
      </c>
      <c r="G124" s="23" t="n">
        <v>3.99</v>
      </c>
      <c r="H124" s="19" t="n">
        <f>G124-C124</f>
        <v>-0.5</v>
      </c>
      <c r="I124" s="11" t="s">
        <v>187</v>
      </c>
      <c r="J124" s="18" t="n">
        <v>4.49</v>
      </c>
      <c r="K124" s="19" t="n">
        <f>J124-C124</f>
        <v>0</v>
      </c>
      <c r="L124" s="26" t="n">
        <f>(J124-C124)/C124</f>
        <v>0</v>
      </c>
    </row>
    <row r="125" ht="16.5" customHeight="1">
      <c r="A125" s="21" t="s">
        <v>128</v>
      </c>
      <c r="B125" s="19" t="s">
        <v>187</v>
      </c>
      <c r="C125" s="20" t="n">
        <v>4.49</v>
      </c>
      <c r="D125" s="20" t="n">
        <v>3.82</v>
      </c>
      <c r="E125" s="20" t="n">
        <v>3.82</v>
      </c>
      <c r="F125" s="19" t="s">
        <v>187</v>
      </c>
      <c r="G125" s="23" t="n">
        <v>3.99</v>
      </c>
      <c r="H125" s="19" t="n">
        <f>G125-C125</f>
        <v>-0.5</v>
      </c>
      <c r="I125" s="11" t="s">
        <v>187</v>
      </c>
      <c r="J125" s="18" t="n">
        <v>4.49</v>
      </c>
      <c r="K125" s="19" t="n">
        <f>J125-C125</f>
        <v>0</v>
      </c>
      <c r="L125" s="26" t="n">
        <f>(J125-C125)/C125</f>
        <v>0</v>
      </c>
    </row>
    <row r="126" ht="16.5" customHeight="1">
      <c r="A126" s="21" t="s">
        <v>129</v>
      </c>
      <c r="B126" s="19" t="s">
        <v>187</v>
      </c>
      <c r="C126" s="20" t="n">
        <v>4.49</v>
      </c>
      <c r="D126" s="20" t="n">
        <v>3.82</v>
      </c>
      <c r="E126" s="20" t="n">
        <v>3.82</v>
      </c>
      <c r="F126" s="19" t="s">
        <v>187</v>
      </c>
      <c r="G126" s="23" t="n">
        <v>3.99</v>
      </c>
      <c r="H126" s="19" t="n">
        <f>G126-C126</f>
        <v>-0.5</v>
      </c>
      <c r="I126" s="11" t="s">
        <v>187</v>
      </c>
      <c r="J126" s="18" t="n">
        <v>4.49</v>
      </c>
      <c r="K126" s="19" t="n">
        <f>J126-C126</f>
        <v>0</v>
      </c>
      <c r="L126" s="26" t="n">
        <f>(J126-C126)/C126</f>
        <v>0</v>
      </c>
    </row>
    <row r="127" ht="16.5" customHeight="1">
      <c r="A127" s="21" t="s">
        <v>130</v>
      </c>
      <c r="B127" s="19" t="s">
        <v>213</v>
      </c>
      <c r="C127" s="20" t="n">
        <v>18.9</v>
      </c>
      <c r="D127" s="20" t="n">
        <v>13.61</v>
      </c>
      <c r="E127" s="20" t="n">
        <v>13.61</v>
      </c>
      <c r="F127" s="19" t="s">
        <v>213</v>
      </c>
      <c r="G127" s="23" t="n">
        <v>17.9</v>
      </c>
      <c r="H127" s="19" t="n">
        <f>G127-C127</f>
        <v>-1</v>
      </c>
      <c r="I127" s="11" t="s">
        <v>213</v>
      </c>
      <c r="J127" s="18" t="n">
        <v>19.9</v>
      </c>
      <c r="K127" s="19" t="n">
        <f>J127-C127</f>
        <v>1</v>
      </c>
      <c r="L127" s="26" t="n">
        <f>(J127-C127)/C127</f>
        <v>0.0529100529100529</v>
      </c>
    </row>
    <row r="128" ht="16.5" customHeight="1">
      <c r="A128" s="21" t="s">
        <v>131</v>
      </c>
      <c r="B128" s="19" t="s">
        <v>214</v>
      </c>
      <c r="C128" s="20" t="n">
        <v>229</v>
      </c>
      <c r="D128" s="20" t="n">
        <v>194.65</v>
      </c>
      <c r="E128" s="20" t="n">
        <v>194.65</v>
      </c>
      <c r="F128" s="19" t="s">
        <v>214</v>
      </c>
      <c r="G128" s="23" t="n">
        <v>199</v>
      </c>
      <c r="H128" s="19" t="n">
        <f>G128-C128</f>
        <v>-30</v>
      </c>
      <c r="I128" s="11" t="s">
        <v>214</v>
      </c>
      <c r="J128" s="18" t="n">
        <v>249</v>
      </c>
      <c r="K128" s="19" t="n">
        <f>J128-C128</f>
        <v>20</v>
      </c>
      <c r="L128" s="26" t="n">
        <f>(J128-C128)/C128</f>
        <v>0.0873362445414847</v>
      </c>
    </row>
    <row r="129" ht="16.5" customHeight="1">
      <c r="A129" s="21" t="s">
        <v>132</v>
      </c>
      <c r="B129" s="19" t="s">
        <v>215</v>
      </c>
      <c r="C129" s="20" t="n">
        <v>23.99</v>
      </c>
      <c r="D129" s="20" t="n">
        <v>16.58</v>
      </c>
      <c r="E129" s="20" t="n">
        <v>16.58</v>
      </c>
      <c r="F129" s="19" t="s">
        <v>215</v>
      </c>
      <c r="G129" s="23" t="n">
        <v>19.99</v>
      </c>
      <c r="H129" s="19" t="n">
        <f>G129-C129</f>
        <v>-4</v>
      </c>
      <c r="I129" s="11" t="s">
        <v>215</v>
      </c>
      <c r="J129" s="18" t="n">
        <v>24.99</v>
      </c>
      <c r="K129" s="19" t="n">
        <f>J129-C129</f>
        <v>1</v>
      </c>
      <c r="L129" s="26" t="n">
        <f>(J129-C129)/C129</f>
        <v>0.0416840350145894</v>
      </c>
    </row>
    <row r="130" ht="16.5" customHeight="1">
      <c r="A130" s="21" t="s">
        <v>133</v>
      </c>
      <c r="B130" s="19" t="s">
        <v>189</v>
      </c>
      <c r="C130" s="20" t="n">
        <v>4.99</v>
      </c>
      <c r="D130" s="20" t="n">
        <v>3.45</v>
      </c>
      <c r="E130" s="20" t="n">
        <v>3.45</v>
      </c>
      <c r="F130" s="19" t="s">
        <v>189</v>
      </c>
      <c r="G130" s="23" t="n">
        <v>4.99</v>
      </c>
      <c r="H130" s="19" t="n">
        <f>G130-C130</f>
        <v>0</v>
      </c>
      <c r="I130" s="11" t="s">
        <v>189</v>
      </c>
      <c r="J130" s="18" t="n">
        <v>4.99</v>
      </c>
      <c r="K130" s="19" t="n">
        <f>J130-C130</f>
        <v>0</v>
      </c>
      <c r="L130" s="26" t="n">
        <f>(J130-C130)/C130</f>
        <v>0</v>
      </c>
    </row>
    <row r="131" ht="16.5" customHeight="1">
      <c r="A131" s="21" t="s">
        <v>134</v>
      </c>
      <c r="B131" s="19" t="s">
        <v>216</v>
      </c>
      <c r="C131" s="20" t="n">
        <v>16.99</v>
      </c>
      <c r="D131" s="20" t="n">
        <v>14.44</v>
      </c>
      <c r="E131" s="20" t="n">
        <v>14.44</v>
      </c>
      <c r="F131" s="19" t="s">
        <v>216</v>
      </c>
      <c r="G131" s="23" t="n">
        <v>14.99</v>
      </c>
      <c r="H131" s="19" t="n">
        <f>G131-C131</f>
        <v>-2</v>
      </c>
      <c r="I131" s="11" t="s">
        <v>216</v>
      </c>
      <c r="J131" s="18" t="n">
        <v>16.99</v>
      </c>
      <c r="K131" s="19" t="n">
        <f>J131-C131</f>
        <v>0</v>
      </c>
      <c r="L131" s="26" t="n">
        <f>(J131-C131)/C131</f>
        <v>0</v>
      </c>
    </row>
    <row r="132" ht="16.5" customHeight="1">
      <c r="A132" s="21" t="s">
        <v>135</v>
      </c>
      <c r="B132" s="19" t="s">
        <v>217</v>
      </c>
      <c r="C132" s="20" t="n">
        <v>23.99</v>
      </c>
      <c r="D132" s="20" t="n">
        <v>17.14</v>
      </c>
      <c r="E132" s="20" t="n">
        <v>17.14</v>
      </c>
      <c r="F132" s="19" t="s">
        <v>217</v>
      </c>
      <c r="G132" s="23" t="n">
        <v>19.99</v>
      </c>
      <c r="H132" s="19" t="n">
        <f>G132-C132</f>
        <v>-4</v>
      </c>
      <c r="I132" s="11" t="s">
        <v>217</v>
      </c>
      <c r="J132" s="18" t="n">
        <v>24.99</v>
      </c>
      <c r="K132" s="19" t="n">
        <f>J132-C132</f>
        <v>1</v>
      </c>
      <c r="L132" s="26" t="n">
        <f>(J132-C132)/C132</f>
        <v>0.0416840350145894</v>
      </c>
    </row>
    <row r="133" ht="16.5" customHeight="1">
      <c r="A133" s="21" t="s">
        <v>136</v>
      </c>
      <c r="B133" s="19" t="s">
        <v>218</v>
      </c>
      <c r="C133" s="20" t="n">
        <v>399</v>
      </c>
      <c r="D133" s="20" t="n">
        <v>282.63</v>
      </c>
      <c r="E133" s="20" t="n">
        <v>282.63</v>
      </c>
      <c r="F133" s="19" t="s">
        <v>218</v>
      </c>
      <c r="G133" s="23" t="n">
        <v>349</v>
      </c>
      <c r="H133" s="19" t="n">
        <f>G133-C133</f>
        <v>-50</v>
      </c>
      <c r="I133" s="11" t="s">
        <v>218</v>
      </c>
      <c r="J133" s="18" t="n">
        <v>399</v>
      </c>
      <c r="K133" s="19" t="n">
        <f>J133-C133</f>
        <v>0</v>
      </c>
      <c r="L133" s="26" t="n">
        <f>(J133-C133)/C133</f>
        <v>0</v>
      </c>
    </row>
    <row r="134" ht="16.5" customHeight="1">
      <c r="A134" s="21" t="s">
        <v>137</v>
      </c>
      <c r="B134" s="19" t="s">
        <v>187</v>
      </c>
      <c r="C134" s="20" t="n">
        <v>4.49</v>
      </c>
      <c r="D134" s="20" t="n">
        <v>3.82</v>
      </c>
      <c r="E134" s="20" t="n">
        <v>3.82</v>
      </c>
      <c r="F134" s="19" t="s">
        <v>187</v>
      </c>
      <c r="G134" s="23" t="n">
        <v>3.99</v>
      </c>
      <c r="H134" s="19" t="n">
        <f>G134-C134</f>
        <v>-0.5</v>
      </c>
      <c r="I134" s="11" t="s">
        <v>187</v>
      </c>
      <c r="J134" s="18" t="n">
        <v>4.49</v>
      </c>
      <c r="K134" s="19" t="n">
        <f>J134-C134</f>
        <v>0</v>
      </c>
      <c r="L134" s="26" t="n">
        <f>(J134-C134)/C134</f>
        <v>0</v>
      </c>
    </row>
    <row r="135" ht="16.5" customHeight="1">
      <c r="A135" s="21" t="s">
        <v>138</v>
      </c>
      <c r="B135" s="19" t="s">
        <v>187</v>
      </c>
      <c r="C135" s="20" t="n">
        <v>4.49</v>
      </c>
      <c r="D135" s="20" t="n">
        <v>3.82</v>
      </c>
      <c r="E135" s="20" t="n">
        <v>3.82</v>
      </c>
      <c r="F135" s="19" t="s">
        <v>187</v>
      </c>
      <c r="G135" s="23" t="n">
        <v>3.99</v>
      </c>
      <c r="H135" s="19" t="n">
        <f>G135-C135</f>
        <v>-0.5</v>
      </c>
      <c r="I135" s="11" t="s">
        <v>187</v>
      </c>
      <c r="J135" s="18" t="n">
        <v>4.49</v>
      </c>
      <c r="K135" s="19" t="n">
        <f>J135-C135</f>
        <v>0</v>
      </c>
      <c r="L135" s="26" t="n">
        <f>(J135-C135)/C135</f>
        <v>0</v>
      </c>
    </row>
    <row r="136" ht="16.5" customHeight="1">
      <c r="A136" s="21" t="s">
        <v>139</v>
      </c>
      <c r="B136" s="19" t="s">
        <v>219</v>
      </c>
      <c r="C136" s="20" t="n">
        <v>19.99</v>
      </c>
      <c r="D136" s="20" t="n">
        <v>14.78</v>
      </c>
      <c r="E136" s="20" t="n">
        <v>14.78</v>
      </c>
      <c r="F136" s="19" t="s">
        <v>219</v>
      </c>
      <c r="G136" s="23" t="n">
        <v>17.99</v>
      </c>
      <c r="H136" s="19" t="n">
        <f>G136-C136</f>
        <v>-2</v>
      </c>
      <c r="I136" s="11" t="s">
        <v>219</v>
      </c>
      <c r="J136" s="18" t="n">
        <v>19.99</v>
      </c>
      <c r="K136" s="19" t="n">
        <f>J136-C136</f>
        <v>0</v>
      </c>
      <c r="L136" s="26" t="n">
        <f>(J136-C136)/C136</f>
        <v>0</v>
      </c>
    </row>
    <row r="137" ht="16.5" customHeight="1">
      <c r="A137" s="21" t="s">
        <v>140</v>
      </c>
      <c r="B137" s="19" t="s">
        <v>187</v>
      </c>
      <c r="C137" s="20" t="n">
        <v>4.49</v>
      </c>
      <c r="D137" s="20" t="n">
        <v>3.23</v>
      </c>
      <c r="E137" s="20" t="n">
        <v>3.23</v>
      </c>
      <c r="F137" s="19" t="s">
        <v>187</v>
      </c>
      <c r="G137" s="23" t="n">
        <v>4.99</v>
      </c>
      <c r="H137" s="19" t="n">
        <f>G137-C137</f>
        <v>0.5</v>
      </c>
      <c r="I137" s="11" t="s">
        <v>187</v>
      </c>
      <c r="J137" s="18" t="n">
        <v>4.99</v>
      </c>
      <c r="K137" s="19" t="n">
        <f>J137-C137</f>
        <v>0.5</v>
      </c>
      <c r="L137" s="26" t="n">
        <f>(J137-C137)/C137</f>
        <v>0.111358574610245</v>
      </c>
    </row>
    <row r="138" ht="16.5" customHeight="1">
      <c r="A138" s="21" t="s">
        <v>141</v>
      </c>
      <c r="B138" s="19" t="s">
        <v>189</v>
      </c>
      <c r="C138" s="20" t="n">
        <v>4.99</v>
      </c>
      <c r="D138" s="20" t="n">
        <v>3.53</v>
      </c>
      <c r="E138" s="20" t="n">
        <v>3.53</v>
      </c>
      <c r="F138" s="19" t="s">
        <v>189</v>
      </c>
      <c r="G138" s="23" t="n">
        <v>4.99</v>
      </c>
      <c r="H138" s="19" t="n">
        <f>G138-C138</f>
        <v>0</v>
      </c>
      <c r="I138" s="11" t="s">
        <v>189</v>
      </c>
      <c r="J138" s="18" t="n">
        <v>4.99</v>
      </c>
      <c r="K138" s="19" t="n">
        <f>J138-C138</f>
        <v>0</v>
      </c>
      <c r="L138" s="26" t="n">
        <f>(J138-C138)/C138</f>
        <v>0</v>
      </c>
    </row>
    <row r="139" ht="16.5" customHeight="1">
      <c r="A139" s="21" t="s">
        <v>142</v>
      </c>
      <c r="B139" s="19" t="s">
        <v>187</v>
      </c>
      <c r="C139" s="20" t="n">
        <v>4.49</v>
      </c>
      <c r="D139" s="20" t="n">
        <v>3.82</v>
      </c>
      <c r="E139" s="20" t="n">
        <v>3.82</v>
      </c>
      <c r="F139" s="19" t="s">
        <v>187</v>
      </c>
      <c r="G139" s="23" t="n">
        <v>3.99</v>
      </c>
      <c r="H139" s="19" t="n">
        <f>G139-C139</f>
        <v>-0.5</v>
      </c>
      <c r="I139" s="11" t="s">
        <v>187</v>
      </c>
      <c r="J139" s="18" t="n">
        <v>4.49</v>
      </c>
      <c r="K139" s="19" t="n">
        <f>J139-C139</f>
        <v>0</v>
      </c>
      <c r="L139" s="26" t="n">
        <f>(J139-C139)/C139</f>
        <v>0</v>
      </c>
    </row>
    <row r="140" ht="16.5" customHeight="1">
      <c r="A140" s="21" t="s">
        <v>143</v>
      </c>
      <c r="B140" s="19" t="s">
        <v>187</v>
      </c>
      <c r="C140" s="20" t="n">
        <v>4.49</v>
      </c>
      <c r="D140" s="20" t="n">
        <v>3.82</v>
      </c>
      <c r="E140" s="20" t="n">
        <v>3.82</v>
      </c>
      <c r="F140" s="19" t="s">
        <v>187</v>
      </c>
      <c r="G140" s="23" t="n">
        <v>3.99</v>
      </c>
      <c r="H140" s="19" t="n">
        <f>G140-C140</f>
        <v>-0.5</v>
      </c>
      <c r="I140" s="11" t="s">
        <v>187</v>
      </c>
      <c r="J140" s="18" t="n">
        <v>4.49</v>
      </c>
      <c r="K140" s="19" t="n">
        <f>J140-C140</f>
        <v>0</v>
      </c>
      <c r="L140" s="26" t="n">
        <f>(J140-C140)/C140</f>
        <v>0</v>
      </c>
    </row>
    <row r="141" ht="16.5" customHeight="1">
      <c r="A141" s="21" t="s">
        <v>144</v>
      </c>
      <c r="B141" s="19" t="s">
        <v>220</v>
      </c>
      <c r="C141" s="20" t="n">
        <v>6.98</v>
      </c>
      <c r="D141" s="20" t="n">
        <v>5.44</v>
      </c>
      <c r="E141" s="20" t="n">
        <v>5.44</v>
      </c>
      <c r="F141" s="19" t="s">
        <v>220</v>
      </c>
      <c r="G141" s="23" t="n">
        <v>5.98</v>
      </c>
      <c r="H141" s="19" t="n">
        <f>G141-C141</f>
        <v>-1</v>
      </c>
      <c r="I141" s="11" t="s">
        <v>220</v>
      </c>
      <c r="J141" s="18" t="n">
        <v>5.98</v>
      </c>
      <c r="K141" s="19" t="n">
        <f>J141-C141</f>
        <v>-1</v>
      </c>
      <c r="L141" s="26" t="n">
        <f>(J141-C141)/C141</f>
        <v>-0.143266475644699</v>
      </c>
    </row>
    <row r="142" ht="16.5" customHeight="1">
      <c r="A142" s="21" t="s">
        <v>145</v>
      </c>
      <c r="B142" s="19" t="s">
        <v>189</v>
      </c>
      <c r="C142" s="20" t="n">
        <v>4.99</v>
      </c>
      <c r="D142" s="20" t="n">
        <v>3.45</v>
      </c>
      <c r="E142" s="20" t="n">
        <v>3.45</v>
      </c>
      <c r="F142" s="19" t="s">
        <v>189</v>
      </c>
      <c r="G142" s="23" t="n">
        <v>4.99</v>
      </c>
      <c r="H142" s="19" t="n">
        <f>G142-C142</f>
        <v>0</v>
      </c>
      <c r="I142" s="11" t="s">
        <v>189</v>
      </c>
      <c r="J142" s="18" t="n">
        <v>4.99</v>
      </c>
      <c r="K142" s="19" t="n">
        <f>J142-C142</f>
        <v>0</v>
      </c>
      <c r="L142" s="26" t="n">
        <f>(J142-C142)/C142</f>
        <v>0</v>
      </c>
    </row>
    <row r="143" ht="16.5" customHeight="1">
      <c r="A143" s="21" t="s">
        <v>146</v>
      </c>
      <c r="B143" s="19" t="s">
        <v>189</v>
      </c>
      <c r="C143" s="20" t="n">
        <v>4.99</v>
      </c>
      <c r="D143" s="20" t="n">
        <v>3.48</v>
      </c>
      <c r="E143" s="20" t="n">
        <v>3.48</v>
      </c>
      <c r="F143" s="19" t="s">
        <v>189</v>
      </c>
      <c r="G143" s="23" t="n">
        <v>4.99</v>
      </c>
      <c r="H143" s="19" t="n">
        <f>G143-C143</f>
        <v>0</v>
      </c>
      <c r="I143" s="11" t="s">
        <v>189</v>
      </c>
      <c r="J143" s="18" t="n">
        <v>4.99</v>
      </c>
      <c r="K143" s="19" t="n">
        <f>J143-C143</f>
        <v>0</v>
      </c>
      <c r="L143" s="26" t="n">
        <f>(J143-C143)/C143</f>
        <v>0</v>
      </c>
    </row>
    <row r="144" ht="16.5" customHeight="1">
      <c r="A144" s="21" t="s">
        <v>147</v>
      </c>
      <c r="B144" s="19" t="s">
        <v>187</v>
      </c>
      <c r="C144" s="20" t="n">
        <v>4.49</v>
      </c>
      <c r="D144" s="20" t="n">
        <v>3.82</v>
      </c>
      <c r="E144" s="20" t="n">
        <v>3.82</v>
      </c>
      <c r="F144" s="19" t="s">
        <v>187</v>
      </c>
      <c r="G144" s="23" t="n">
        <v>3.99</v>
      </c>
      <c r="H144" s="19" t="n">
        <f>G144-C144</f>
        <v>-0.5</v>
      </c>
      <c r="I144" s="11" t="s">
        <v>187</v>
      </c>
      <c r="J144" s="18" t="n">
        <v>4.49</v>
      </c>
      <c r="K144" s="19" t="n">
        <f>J144-C144</f>
        <v>0</v>
      </c>
      <c r="L144" s="26" t="n">
        <f>(J144-C144)/C144</f>
        <v>0</v>
      </c>
    </row>
    <row r="145" ht="16.5" customHeight="1">
      <c r="A145" s="21" t="s">
        <v>148</v>
      </c>
      <c r="B145" s="19" t="s">
        <v>221</v>
      </c>
      <c r="C145" s="20" t="n">
        <v>84.99</v>
      </c>
      <c r="D145" s="20" t="n">
        <v>62.82</v>
      </c>
      <c r="E145" s="20" t="n">
        <v>62.82</v>
      </c>
      <c r="F145" s="19" t="s">
        <v>221</v>
      </c>
      <c r="G145" s="23" t="n">
        <v>79.99</v>
      </c>
      <c r="H145" s="19" t="n">
        <f>G145-C145</f>
        <v>-5</v>
      </c>
      <c r="I145" s="11" t="s">
        <v>221</v>
      </c>
      <c r="J145" s="18" t="n">
        <v>99.99</v>
      </c>
      <c r="K145" s="19" t="n">
        <f>J145-C145</f>
        <v>15</v>
      </c>
      <c r="L145" s="26" t="n">
        <f>(J145-C145)/C145</f>
        <v>0.176491351923756</v>
      </c>
    </row>
    <row r="146" ht="16.5" customHeight="1">
      <c r="A146" s="21" t="s">
        <v>149</v>
      </c>
      <c r="B146" s="19" t="s">
        <v>189</v>
      </c>
      <c r="C146" s="20" t="n">
        <v>4.99</v>
      </c>
      <c r="D146" s="20" t="n">
        <v>3.5</v>
      </c>
      <c r="E146" s="20" t="n">
        <v>3.5</v>
      </c>
      <c r="F146" s="19" t="s">
        <v>189</v>
      </c>
      <c r="G146" s="23" t="n">
        <v>4.99</v>
      </c>
      <c r="H146" s="19" t="n">
        <f>G146-C146</f>
        <v>0</v>
      </c>
      <c r="I146" s="11" t="s">
        <v>189</v>
      </c>
      <c r="J146" s="18" t="n">
        <v>4.99</v>
      </c>
      <c r="K146" s="19" t="n">
        <f>J146-C146</f>
        <v>0</v>
      </c>
      <c r="L146" s="26" t="n">
        <f>(J146-C146)/C146</f>
        <v>0</v>
      </c>
    </row>
    <row r="147" ht="16.5" customHeight="1">
      <c r="A147" s="21" t="s">
        <v>150</v>
      </c>
      <c r="B147" s="19" t="s">
        <v>187</v>
      </c>
      <c r="C147" s="20" t="n">
        <v>4.49</v>
      </c>
      <c r="D147" s="20" t="n">
        <v>3.82</v>
      </c>
      <c r="E147" s="20" t="n">
        <v>3.82</v>
      </c>
      <c r="F147" s="19" t="s">
        <v>187</v>
      </c>
      <c r="G147" s="23" t="n">
        <v>3.99</v>
      </c>
      <c r="H147" s="19" t="n">
        <f>G147-C147</f>
        <v>-0.5</v>
      </c>
      <c r="I147" s="11" t="s">
        <v>187</v>
      </c>
      <c r="J147" s="18" t="n">
        <v>4.49</v>
      </c>
      <c r="K147" s="19" t="n">
        <f>J147-C147</f>
        <v>0</v>
      </c>
      <c r="L147" s="26" t="n">
        <f>(J147-C147)/C147</f>
        <v>0</v>
      </c>
    </row>
    <row r="148" ht="16.5" customHeight="1">
      <c r="A148" s="21" t="s">
        <v>151</v>
      </c>
      <c r="B148" s="19" t="s">
        <v>187</v>
      </c>
      <c r="C148" s="20" t="n">
        <v>4.49</v>
      </c>
      <c r="D148" s="20" t="n">
        <v>3.82</v>
      </c>
      <c r="E148" s="20" t="n">
        <v>3.82</v>
      </c>
      <c r="F148" s="19" t="s">
        <v>187</v>
      </c>
      <c r="G148" s="23" t="n">
        <v>3.99</v>
      </c>
      <c r="H148" s="19" t="n">
        <f>G148-C148</f>
        <v>-0.5</v>
      </c>
      <c r="I148" s="11" t="s">
        <v>187</v>
      </c>
      <c r="J148" s="18" t="n">
        <v>4.49</v>
      </c>
      <c r="K148" s="19" t="n">
        <f>J148-C148</f>
        <v>0</v>
      </c>
      <c r="L148" s="26" t="n">
        <f>(J148-C148)/C148</f>
        <v>0</v>
      </c>
    </row>
    <row r="149" ht="16.5" customHeight="1">
      <c r="A149" s="21" t="s">
        <v>152</v>
      </c>
      <c r="B149" s="19" t="s">
        <v>187</v>
      </c>
      <c r="C149" s="20" t="n">
        <v>4.49</v>
      </c>
      <c r="D149" s="20" t="n">
        <v>3.82</v>
      </c>
      <c r="E149" s="20" t="n">
        <v>3.82</v>
      </c>
      <c r="F149" s="19" t="s">
        <v>187</v>
      </c>
      <c r="G149" s="23" t="n">
        <v>3.99</v>
      </c>
      <c r="H149" s="19" t="n">
        <f>G149-C149</f>
        <v>-0.5</v>
      </c>
      <c r="I149" s="11" t="s">
        <v>187</v>
      </c>
      <c r="J149" s="18" t="n">
        <v>4.49</v>
      </c>
      <c r="K149" s="19" t="n">
        <f>J149-C149</f>
        <v>0</v>
      </c>
      <c r="L149" s="26" t="n">
        <f>(J149-C149)/C149</f>
        <v>0</v>
      </c>
    </row>
    <row r="150" ht="16.5" customHeight="1">
      <c r="A150" s="21" t="s">
        <v>153</v>
      </c>
      <c r="B150" s="19" t="s">
        <v>187</v>
      </c>
      <c r="C150" s="20" t="n">
        <v>4.49</v>
      </c>
      <c r="D150" s="20" t="n">
        <v>3.82</v>
      </c>
      <c r="E150" s="20" t="n">
        <v>3.82</v>
      </c>
      <c r="F150" s="19" t="s">
        <v>187</v>
      </c>
      <c r="G150" s="23" t="n">
        <v>3.99</v>
      </c>
      <c r="H150" s="19" t="n">
        <f>G150-C150</f>
        <v>-0.5</v>
      </c>
      <c r="I150" s="11" t="s">
        <v>187</v>
      </c>
      <c r="J150" s="18" t="n">
        <v>4.49</v>
      </c>
      <c r="K150" s="19" t="n">
        <f>J150-C150</f>
        <v>0</v>
      </c>
      <c r="L150" s="26" t="n">
        <f>(J150-C150)/C150</f>
        <v>0</v>
      </c>
    </row>
    <row r="151" ht="16.5" customHeight="1">
      <c r="A151" s="21" t="s">
        <v>154</v>
      </c>
      <c r="B151" s="19" t="s">
        <v>187</v>
      </c>
      <c r="C151" s="20" t="n">
        <v>4.49</v>
      </c>
      <c r="D151" s="20" t="n">
        <v>3.47</v>
      </c>
      <c r="E151" s="20" t="n">
        <v>3.47</v>
      </c>
      <c r="F151" s="19" t="s">
        <v>187</v>
      </c>
      <c r="G151" s="23" t="n">
        <v>3.99</v>
      </c>
      <c r="H151" s="19" t="n">
        <f>G151-C151</f>
        <v>-0.5</v>
      </c>
      <c r="I151" s="11" t="s">
        <v>187</v>
      </c>
      <c r="J151" s="18" t="n">
        <v>4.99</v>
      </c>
      <c r="K151" s="19" t="n">
        <f>J151-C151</f>
        <v>0.5</v>
      </c>
      <c r="L151" s="26" t="n">
        <f>(J151-C151)/C151</f>
        <v>0.111358574610245</v>
      </c>
    </row>
    <row r="152" ht="16.5" customHeight="1">
      <c r="A152" s="21" t="s">
        <v>155</v>
      </c>
      <c r="B152" s="19" t="s">
        <v>222</v>
      </c>
      <c r="C152" s="20" t="n">
        <v>50</v>
      </c>
      <c r="D152" s="20" t="n">
        <v>34</v>
      </c>
      <c r="E152" s="20" t="n">
        <v>34</v>
      </c>
      <c r="F152" s="19" t="s">
        <v>222</v>
      </c>
      <c r="G152" s="23" t="n">
        <v>49</v>
      </c>
      <c r="H152" s="19" t="n">
        <f>G152-C152</f>
        <v>-1</v>
      </c>
      <c r="I152" s="11" t="s">
        <v>222</v>
      </c>
      <c r="J152" s="18" t="n">
        <v>59</v>
      </c>
      <c r="K152" s="19" t="n">
        <f>J152-C152</f>
        <v>9</v>
      </c>
      <c r="L152" s="26" t="n">
        <f>(J152-C152)/C152</f>
        <v>0.18</v>
      </c>
    </row>
    <row r="153" ht="16.5" customHeight="1">
      <c r="A153" s="21" t="s">
        <v>156</v>
      </c>
      <c r="B153" s="19" t="s">
        <v>223</v>
      </c>
      <c r="C153" s="20" t="n">
        <v>4.5</v>
      </c>
      <c r="D153" s="20" t="n">
        <v>3.54</v>
      </c>
      <c r="E153" s="20" t="n">
        <v>3.54</v>
      </c>
      <c r="F153" s="19" t="s">
        <v>223</v>
      </c>
      <c r="G153" s="23" t="n">
        <v>4</v>
      </c>
      <c r="H153" s="19" t="n">
        <f>G153-C153</f>
        <v>-0.5</v>
      </c>
      <c r="I153" s="11" t="s">
        <v>223</v>
      </c>
      <c r="J153" s="18" t="n">
        <v>4.5</v>
      </c>
      <c r="K153" s="19" t="n">
        <f>J153-C153</f>
        <v>0</v>
      </c>
      <c r="L153" s="26" t="n">
        <f>(J153-C153)/C153</f>
        <v>0</v>
      </c>
    </row>
    <row r="154" ht="16.5" customHeight="1">
      <c r="A154" s="21" t="s">
        <v>157</v>
      </c>
      <c r="B154" s="19" t="s">
        <v>224</v>
      </c>
      <c r="C154" s="20" t="n">
        <v>140</v>
      </c>
      <c r="D154" s="20" t="n">
        <v>110</v>
      </c>
      <c r="E154" s="20" t="n">
        <v>110</v>
      </c>
      <c r="F154" s="19" t="s">
        <v>224</v>
      </c>
      <c r="G154" s="23" t="n">
        <v>120</v>
      </c>
      <c r="H154" s="19" t="n">
        <f>G154-C154</f>
        <v>-20</v>
      </c>
      <c r="I154" s="11" t="s">
        <v>224</v>
      </c>
      <c r="J154" s="18" t="n">
        <v>150</v>
      </c>
      <c r="K154" s="19" t="n">
        <f>J154-C154</f>
        <v>10</v>
      </c>
      <c r="L154" s="26" t="n">
        <f>(J154-C154)/C154</f>
        <v>0.0714285714285714</v>
      </c>
    </row>
    <row r="155" ht="16.5" customHeight="1">
      <c r="A155" s="21" t="s">
        <v>158</v>
      </c>
      <c r="B155" s="19" t="s">
        <v>187</v>
      </c>
      <c r="C155" s="20" t="n">
        <v>5.49</v>
      </c>
      <c r="D155" s="20" t="n">
        <v>4.09</v>
      </c>
      <c r="E155" s="20" t="n">
        <v>4.09</v>
      </c>
      <c r="F155" s="19" t="s">
        <v>187</v>
      </c>
      <c r="G155" s="23" t="n">
        <v>3.99</v>
      </c>
      <c r="H155" s="19" t="n">
        <f>G155-C155</f>
        <v>-1.5</v>
      </c>
      <c r="I155" s="11" t="s">
        <v>187</v>
      </c>
      <c r="J155" s="18" t="n">
        <v>4.99</v>
      </c>
      <c r="K155" s="19" t="n">
        <f>J155-C155</f>
        <v>-0.5</v>
      </c>
      <c r="L155" s="26" t="n">
        <f>(J155-C155)/C155</f>
        <v>-0.0910746812386157</v>
      </c>
    </row>
    <row r="156" ht="16.5" customHeight="1">
      <c r="A156" s="21" t="s">
        <v>159</v>
      </c>
      <c r="B156" s="19" t="s">
        <v>225</v>
      </c>
      <c r="C156" s="20" t="n">
        <v>10500</v>
      </c>
      <c r="D156" s="20" t="n">
        <v>7412.29</v>
      </c>
      <c r="E156" s="20" t="n">
        <v>7412.29</v>
      </c>
      <c r="F156" s="19" t="s">
        <v>225</v>
      </c>
      <c r="G156" s="23" t="n">
        <v>11900</v>
      </c>
      <c r="H156" s="19" t="n">
        <f>G156-C156</f>
        <v>1400</v>
      </c>
      <c r="I156" s="11" t="s">
        <v>225</v>
      </c>
      <c r="J156" s="18" t="n">
        <v>12900</v>
      </c>
      <c r="K156" s="19" t="n">
        <f>J156-C156</f>
        <v>2400</v>
      </c>
      <c r="L156" s="26" t="n">
        <f>(J156-C156)/C156</f>
        <v>0.228571428571429</v>
      </c>
    </row>
    <row r="157" ht="16.5" customHeight="1">
      <c r="A157" s="21" t="s">
        <v>160</v>
      </c>
      <c r="B157" s="19" t="s">
        <v>226</v>
      </c>
      <c r="C157" s="20" t="n">
        <v>169</v>
      </c>
      <c r="D157" s="20" t="n">
        <v>134.25</v>
      </c>
      <c r="E157" s="20" t="n">
        <v>134.25</v>
      </c>
      <c r="F157" s="19" t="s">
        <v>226</v>
      </c>
      <c r="G157" s="23" t="n">
        <v>149</v>
      </c>
      <c r="H157" s="19" t="n">
        <f>G157-C157</f>
        <v>-20</v>
      </c>
      <c r="I157" s="11" t="s">
        <v>226</v>
      </c>
      <c r="J157" s="18" t="n">
        <v>149</v>
      </c>
      <c r="K157" s="19" t="n">
        <f>J157-C157</f>
        <v>-20</v>
      </c>
      <c r="L157" s="26" t="n">
        <f>(J157-C157)/C157</f>
        <v>-0.118343195266272</v>
      </c>
    </row>
    <row r="158" ht="16.5" customHeight="1">
      <c r="A158" s="21" t="s">
        <v>161</v>
      </c>
      <c r="B158" s="19" t="s">
        <v>187</v>
      </c>
      <c r="C158" s="20" t="n">
        <v>4.49</v>
      </c>
      <c r="D158" s="20" t="n">
        <v>3.82</v>
      </c>
      <c r="E158" s="20" t="n">
        <v>3.82</v>
      </c>
      <c r="F158" s="19" t="s">
        <v>187</v>
      </c>
      <c r="G158" s="23" t="n">
        <v>3.99</v>
      </c>
      <c r="H158" s="19" t="n">
        <f>G158-C158</f>
        <v>-0.5</v>
      </c>
      <c r="I158" s="11" t="s">
        <v>187</v>
      </c>
      <c r="J158" s="18" t="n">
        <v>4.49</v>
      </c>
      <c r="K158" s="19" t="n">
        <f>J158-C158</f>
        <v>0</v>
      </c>
      <c r="L158" s="26" t="n">
        <f>(J158-C158)/C158</f>
        <v>0</v>
      </c>
    </row>
    <row r="159" ht="16.5" customHeight="1">
      <c r="A159" s="21" t="s">
        <v>162</v>
      </c>
      <c r="B159" s="19" t="s">
        <v>187</v>
      </c>
      <c r="C159" s="20" t="n">
        <v>4.49</v>
      </c>
      <c r="D159" s="20" t="n">
        <v>3.82</v>
      </c>
      <c r="E159" s="20" t="n">
        <v>3.82</v>
      </c>
      <c r="F159" s="19" t="s">
        <v>187</v>
      </c>
      <c r="G159" s="23" t="n">
        <v>3.99</v>
      </c>
      <c r="H159" s="19" t="n">
        <f>G159-C159</f>
        <v>-0.5</v>
      </c>
      <c r="I159" s="11" t="s">
        <v>187</v>
      </c>
      <c r="J159" s="18" t="n">
        <v>4.49</v>
      </c>
      <c r="K159" s="19" t="n">
        <f>J159-C159</f>
        <v>0</v>
      </c>
      <c r="L159" s="26" t="n">
        <f>(J159-C159)/C159</f>
        <v>0</v>
      </c>
    </row>
    <row r="160" ht="16.5" customHeight="1">
      <c r="A160" s="21" t="s">
        <v>163</v>
      </c>
      <c r="B160" s="19" t="s">
        <v>187</v>
      </c>
      <c r="C160" s="20" t="n">
        <v>4.49</v>
      </c>
      <c r="D160" s="20" t="n">
        <v>3.82</v>
      </c>
      <c r="E160" s="20" t="n">
        <v>3.82</v>
      </c>
      <c r="F160" s="19" t="s">
        <v>187</v>
      </c>
      <c r="G160" s="23" t="n">
        <v>3.99</v>
      </c>
      <c r="H160" s="19" t="n">
        <f>G160-C160</f>
        <v>-0.5</v>
      </c>
      <c r="I160" s="11" t="s">
        <v>187</v>
      </c>
      <c r="J160" s="18" t="n">
        <v>4.49</v>
      </c>
      <c r="K160" s="19" t="n">
        <f>J160-C160</f>
        <v>0</v>
      </c>
      <c r="L160" s="26" t="n">
        <f>(J160-C160)/C160</f>
        <v>0</v>
      </c>
    </row>
    <row r="161" ht="16.5" customHeight="1">
      <c r="A161" s="21" t="s">
        <v>164</v>
      </c>
      <c r="B161" s="19" t="s">
        <v>227</v>
      </c>
      <c r="C161" s="20" t="n">
        <v>77.99</v>
      </c>
      <c r="D161" s="20" t="n">
        <v>51.1</v>
      </c>
      <c r="E161" s="20" t="n">
        <v>51.1</v>
      </c>
      <c r="F161" s="19" t="s">
        <v>227</v>
      </c>
      <c r="G161" s="23" t="n">
        <v>179.99</v>
      </c>
      <c r="H161" s="19" t="n">
        <f>G161-C161</f>
        <v>102</v>
      </c>
      <c r="I161" s="11" t="s">
        <v>227</v>
      </c>
      <c r="J161" s="18" t="n">
        <v>199.99</v>
      </c>
      <c r="K161" s="19" t="n">
        <f>J161-C161</f>
        <v>122</v>
      </c>
      <c r="L161" s="26" t="n">
        <f>(J161-C161)/C161</f>
        <v>1.56430311578408</v>
      </c>
    </row>
    <row r="162" ht="16.5" customHeight="1">
      <c r="A162" s="21" t="s">
        <v>165</v>
      </c>
      <c r="B162" s="19" t="s">
        <v>187</v>
      </c>
      <c r="C162" s="20" t="n">
        <v>4.49</v>
      </c>
      <c r="D162" s="20" t="n">
        <v>3.82</v>
      </c>
      <c r="E162" s="20" t="n">
        <v>3.82</v>
      </c>
      <c r="F162" s="19" t="s">
        <v>187</v>
      </c>
      <c r="G162" s="23" t="n">
        <v>3.99</v>
      </c>
      <c r="H162" s="19" t="n">
        <f>G162-C162</f>
        <v>-0.5</v>
      </c>
      <c r="I162" s="11" t="s">
        <v>187</v>
      </c>
      <c r="J162" s="18" t="n">
        <v>4.49</v>
      </c>
      <c r="K162" s="19" t="n">
        <f>J162-C162</f>
        <v>0</v>
      </c>
      <c r="L162" s="26" t="n">
        <f>(J162-C162)/C162</f>
        <v>0</v>
      </c>
    </row>
    <row r="163" ht="16.5" customHeight="1">
      <c r="A163" s="21" t="s">
        <v>166</v>
      </c>
      <c r="B163" s="19" t="s">
        <v>187</v>
      </c>
      <c r="C163" s="20" t="n">
        <v>4.49</v>
      </c>
      <c r="D163" s="20" t="n">
        <v>3.82</v>
      </c>
      <c r="E163" s="20" t="n">
        <v>3.82</v>
      </c>
      <c r="F163" s="19" t="s">
        <v>187</v>
      </c>
      <c r="G163" s="23" t="n">
        <v>3.99</v>
      </c>
      <c r="H163" s="19" t="n">
        <f>G163-C163</f>
        <v>-0.5</v>
      </c>
      <c r="I163" s="11" t="s">
        <v>187</v>
      </c>
      <c r="J163" s="18" t="n">
        <v>4.49</v>
      </c>
      <c r="K163" s="19" t="n">
        <f>J163-C163</f>
        <v>0</v>
      </c>
      <c r="L163" s="26" t="n">
        <f>(J163-C163)/C163</f>
        <v>0</v>
      </c>
    </row>
    <row r="164" ht="16.5" customHeight="1">
      <c r="A164" s="21" t="s">
        <v>167</v>
      </c>
      <c r="B164" s="19" t="s">
        <v>187</v>
      </c>
      <c r="C164" s="20" t="n">
        <v>5.49</v>
      </c>
      <c r="D164" s="20" t="n">
        <v>3.76</v>
      </c>
      <c r="E164" s="20" t="n">
        <v>3.76</v>
      </c>
      <c r="F164" s="19" t="s">
        <v>187</v>
      </c>
      <c r="G164" s="23" t="n">
        <v>4.99</v>
      </c>
      <c r="H164" s="19" t="n">
        <f>G164-C164</f>
        <v>-0.5</v>
      </c>
      <c r="I164" s="11" t="s">
        <v>187</v>
      </c>
      <c r="J164" s="18" t="n">
        <v>4.99</v>
      </c>
      <c r="K164" s="19" t="n">
        <f>J164-C164</f>
        <v>-0.5</v>
      </c>
      <c r="L164" s="26" t="n">
        <f>(J164-C164)/C164</f>
        <v>-0.0910746812386157</v>
      </c>
    </row>
    <row r="165" ht="16.5" customHeight="1">
      <c r="A165" s="21" t="s">
        <v>168</v>
      </c>
      <c r="B165" s="19" t="s">
        <v>187</v>
      </c>
      <c r="C165" s="20" t="n">
        <v>5.49</v>
      </c>
      <c r="D165" s="20" t="n">
        <v>3.89</v>
      </c>
      <c r="E165" s="20" t="n">
        <v>3.89</v>
      </c>
      <c r="F165" s="19" t="s">
        <v>187</v>
      </c>
      <c r="G165" s="23" t="n">
        <v>4.99</v>
      </c>
      <c r="H165" s="19" t="n">
        <f>G165-C165</f>
        <v>-0.5</v>
      </c>
      <c r="I165" s="11" t="s">
        <v>187</v>
      </c>
      <c r="J165" s="18" t="n">
        <v>5.49</v>
      </c>
      <c r="K165" s="19" t="n">
        <f>J165-C165</f>
        <v>0</v>
      </c>
      <c r="L165" s="26" t="n">
        <f>(J165-C165)/C165</f>
        <v>0</v>
      </c>
    </row>
    <row r="166" ht="16.5" customHeight="1">
      <c r="A166" s="21" t="s">
        <v>169</v>
      </c>
      <c r="B166" s="19" t="s">
        <v>228</v>
      </c>
      <c r="C166" s="20" t="n">
        <v>17.99</v>
      </c>
      <c r="D166" s="20" t="n">
        <v>14.56</v>
      </c>
      <c r="E166" s="20" t="n">
        <v>14.56</v>
      </c>
      <c r="F166" s="19" t="s">
        <v>228</v>
      </c>
      <c r="G166" s="23" t="n">
        <v>14.99</v>
      </c>
      <c r="H166" s="19" t="n">
        <f>G166-C166</f>
        <v>-3</v>
      </c>
      <c r="I166" s="11" t="s">
        <v>228</v>
      </c>
      <c r="J166" s="18" t="n">
        <v>17.99</v>
      </c>
      <c r="K166" s="19" t="n">
        <f>J166-C166</f>
        <v>0</v>
      </c>
      <c r="L166" s="26" t="n">
        <f>(J166-C166)/C166</f>
        <v>0</v>
      </c>
    </row>
    <row r="167" ht="16.5" customHeight="1">
      <c r="A167" s="21" t="s">
        <v>170</v>
      </c>
      <c r="B167" s="19" t="s">
        <v>229</v>
      </c>
      <c r="C167" s="20" t="n">
        <v>3.99</v>
      </c>
      <c r="D167" s="20" t="n">
        <v>2.82</v>
      </c>
      <c r="E167" s="20" t="n">
        <v>2.82</v>
      </c>
      <c r="F167" s="19" t="s">
        <v>229</v>
      </c>
      <c r="G167" s="23" t="n">
        <v>3.99</v>
      </c>
      <c r="H167" s="19" t="n">
        <f>G167-C167</f>
        <v>0</v>
      </c>
      <c r="I167" s="11" t="s">
        <v>229</v>
      </c>
      <c r="J167" s="18" t="n">
        <v>3.99</v>
      </c>
      <c r="K167" s="19" t="n">
        <f>J167-C167</f>
        <v>0</v>
      </c>
      <c r="L167" s="26" t="n">
        <f>(J167-C167)/C167</f>
        <v>0</v>
      </c>
    </row>
    <row r="168" ht="16.5" customHeight="1">
      <c r="A168" s="21" t="s">
        <v>171</v>
      </c>
      <c r="B168" s="19" t="s">
        <v>187</v>
      </c>
      <c r="C168" s="20" t="n">
        <v>4.49</v>
      </c>
      <c r="D168" s="20" t="n">
        <v>3.82</v>
      </c>
      <c r="E168" s="20" t="n">
        <v>3.82</v>
      </c>
      <c r="F168" s="19" t="s">
        <v>187</v>
      </c>
      <c r="G168" s="23" t="n">
        <v>3.99</v>
      </c>
      <c r="H168" s="19" t="n">
        <f>G168-C168</f>
        <v>-0.5</v>
      </c>
      <c r="I168" s="11" t="s">
        <v>187</v>
      </c>
      <c r="J168" s="18" t="n">
        <v>4.49</v>
      </c>
      <c r="K168" s="19" t="n">
        <f>J168-C168</f>
        <v>0</v>
      </c>
      <c r="L168" s="26" t="n">
        <f>(J168-C168)/C168</f>
        <v>0</v>
      </c>
    </row>
    <row r="169" ht="16.5" customHeight="1">
      <c r="A169" s="21" t="s">
        <v>172</v>
      </c>
      <c r="B169" s="19" t="s">
        <v>187</v>
      </c>
      <c r="C169" s="20" t="n">
        <v>4.99</v>
      </c>
      <c r="D169" s="20" t="n">
        <v>4.17</v>
      </c>
      <c r="E169" s="20" t="n">
        <v>4.17</v>
      </c>
      <c r="F169" s="19" t="s">
        <v>187</v>
      </c>
      <c r="G169" s="23" t="n">
        <v>3.99</v>
      </c>
      <c r="H169" s="19" t="n">
        <f>G169-C169</f>
        <v>-1</v>
      </c>
      <c r="I169" s="11" t="s">
        <v>187</v>
      </c>
      <c r="J169" s="18" t="n">
        <v>4.49</v>
      </c>
      <c r="K169" s="19" t="n">
        <f>J169-C169</f>
        <v>-0.5</v>
      </c>
      <c r="L169" s="26" t="n">
        <f>(J169-C169)/C169</f>
        <v>-0.100200400801603</v>
      </c>
    </row>
    <row r="170" ht="16.5" customHeight="1">
      <c r="A170" s="21" t="s">
        <v>173</v>
      </c>
      <c r="B170" s="19" t="s">
        <v>187</v>
      </c>
      <c r="C170" s="20" t="n">
        <v>5.49</v>
      </c>
      <c r="D170" s="20" t="n">
        <v>4.17</v>
      </c>
      <c r="E170" s="20" t="n">
        <v>4.17</v>
      </c>
      <c r="F170" s="19" t="s">
        <v>187</v>
      </c>
      <c r="G170" s="23" t="n">
        <v>3.99</v>
      </c>
      <c r="H170" s="19" t="n">
        <f>G170-C170</f>
        <v>-1.5</v>
      </c>
      <c r="I170" s="11" t="s">
        <v>187</v>
      </c>
      <c r="J170" s="18" t="n">
        <v>4.99</v>
      </c>
      <c r="K170" s="19" t="n">
        <f>J170-C170</f>
        <v>-0.5</v>
      </c>
      <c r="L170" s="26" t="n">
        <f>(J170-C170)/C170</f>
        <v>-0.0910746812386157</v>
      </c>
    </row>
    <row r="171" ht="16.5" customHeight="1">
      <c r="A171" s="21" t="s">
        <v>174</v>
      </c>
      <c r="B171" s="19" t="s">
        <v>187</v>
      </c>
      <c r="C171" s="20" t="n">
        <v>4.49</v>
      </c>
      <c r="D171" s="20" t="n">
        <v>3.82</v>
      </c>
      <c r="E171" s="20" t="n">
        <v>3.82</v>
      </c>
      <c r="F171" s="19" t="s">
        <v>187</v>
      </c>
      <c r="G171" s="23" t="n">
        <v>3.99</v>
      </c>
      <c r="H171" s="19" t="n">
        <f>G171-C171</f>
        <v>-0.5</v>
      </c>
      <c r="I171" s="11" t="s">
        <v>187</v>
      </c>
      <c r="J171" s="18" t="n">
        <v>4.49</v>
      </c>
      <c r="K171" s="19" t="n">
        <f>J171-C171</f>
        <v>0</v>
      </c>
      <c r="L171" s="26" t="n">
        <f>(J171-C171)/C171</f>
        <v>0</v>
      </c>
    </row>
    <row r="172" ht="16.5" customHeight="1">
      <c r="A172" s="21" t="s">
        <v>175</v>
      </c>
      <c r="B172" s="19" t="s">
        <v>187</v>
      </c>
      <c r="C172" s="20" t="n">
        <v>4.49</v>
      </c>
      <c r="D172" s="20" t="n">
        <v>3.82</v>
      </c>
      <c r="E172" s="20" t="n">
        <v>3.82</v>
      </c>
      <c r="F172" s="19" t="s">
        <v>187</v>
      </c>
      <c r="G172" s="23" t="n">
        <v>3.99</v>
      </c>
      <c r="H172" s="19" t="n">
        <f>G172-C172</f>
        <v>-0.5</v>
      </c>
      <c r="I172" s="11" t="s">
        <v>187</v>
      </c>
      <c r="J172" s="18" t="n">
        <v>4.49</v>
      </c>
      <c r="K172" s="19" t="n">
        <f>J172-C172</f>
        <v>0</v>
      </c>
      <c r="L172" s="26" t="n">
        <f>(J172-C172)/C172</f>
        <v>0</v>
      </c>
    </row>
    <row r="173" ht="16.5" customHeight="1">
      <c r="A173" s="21" t="s">
        <v>176</v>
      </c>
      <c r="B173" s="19" t="s">
        <v>230</v>
      </c>
      <c r="C173" s="20" t="n">
        <v>119000</v>
      </c>
      <c r="D173" s="20" t="n">
        <v>91035</v>
      </c>
      <c r="E173" s="20" t="n">
        <v>91035</v>
      </c>
      <c r="F173" s="19" t="s">
        <v>230</v>
      </c>
      <c r="G173" s="23" t="n">
        <v>99000</v>
      </c>
      <c r="H173" s="19" t="n">
        <f>G173-C173</f>
        <v>-20000</v>
      </c>
      <c r="I173" s="11" t="s">
        <v>230</v>
      </c>
      <c r="J173" s="18" t="n">
        <v>119000</v>
      </c>
      <c r="K173" s="19" t="n">
        <f>J173-C173</f>
        <v>0</v>
      </c>
      <c r="L173" s="26" t="n">
        <f>(J173-C173)/C173</f>
        <v>0</v>
      </c>
    </row>
    <row r="174" ht="16.5" customHeight="1">
      <c r="A174" s="21" t="s">
        <v>177</v>
      </c>
      <c r="B174" s="19" t="s">
        <v>187</v>
      </c>
      <c r="C174" s="20" t="n">
        <v>4.49</v>
      </c>
      <c r="D174" s="20" t="n">
        <v>3.82</v>
      </c>
      <c r="E174" s="20" t="n">
        <v>3.82</v>
      </c>
      <c r="F174" s="19" t="s">
        <v>187</v>
      </c>
      <c r="G174" s="23" t="n">
        <v>3.99</v>
      </c>
      <c r="H174" s="19" t="n">
        <f>G174-C174</f>
        <v>-0.5</v>
      </c>
      <c r="I174" s="11" t="s">
        <v>187</v>
      </c>
      <c r="J174" s="18" t="n">
        <v>4.49</v>
      </c>
      <c r="K174" s="19" t="n">
        <f>J174-C174</f>
        <v>0</v>
      </c>
      <c r="L174" s="26" t="n">
        <f>(J174-C174)/C174</f>
        <v>0</v>
      </c>
    </row>
    <row r="175" ht="16.5" customHeight="1">
      <c r="A175" s="21" t="s">
        <v>178</v>
      </c>
      <c r="B175" s="19" t="s">
        <v>187</v>
      </c>
      <c r="C175" s="20" t="n">
        <v>4.49</v>
      </c>
      <c r="D175" s="20" t="n">
        <v>3.29</v>
      </c>
      <c r="E175" s="20" t="n">
        <v>3.29</v>
      </c>
      <c r="F175" s="19" t="s">
        <v>187</v>
      </c>
      <c r="G175" s="23" t="n">
        <v>4.99</v>
      </c>
      <c r="H175" s="19" t="n">
        <f>G175-C175</f>
        <v>0.5</v>
      </c>
      <c r="I175" s="11" t="s">
        <v>187</v>
      </c>
      <c r="J175" s="18" t="n">
        <v>4.99</v>
      </c>
      <c r="K175" s="19" t="n">
        <f>J175-C175</f>
        <v>0.5</v>
      </c>
      <c r="L175" s="26" t="n">
        <f>(J175-C175)/C175</f>
        <v>0.111358574610245</v>
      </c>
    </row>
    <row r="176" ht="16.5" customHeight="1">
      <c r="A176" s="21" t="s">
        <v>179</v>
      </c>
      <c r="B176" s="19" t="s">
        <v>187</v>
      </c>
      <c r="C176" s="20" t="n">
        <v>5.49</v>
      </c>
      <c r="D176" s="20" t="n">
        <v>3.85</v>
      </c>
      <c r="E176" s="20" t="n">
        <v>3.85</v>
      </c>
      <c r="F176" s="19" t="s">
        <v>187</v>
      </c>
      <c r="G176" s="23" t="n">
        <v>4.99</v>
      </c>
      <c r="H176" s="19" t="n">
        <f>G176-C176</f>
        <v>-0.5</v>
      </c>
      <c r="I176" s="11" t="s">
        <v>187</v>
      </c>
      <c r="J176" s="18" t="n">
        <v>4.99</v>
      </c>
      <c r="K176" s="19" t="n">
        <f>J176-C176</f>
        <v>-0.5</v>
      </c>
      <c r="L176" s="26" t="n">
        <f>(J176-C176)/C176</f>
        <v>-0.0910746812386157</v>
      </c>
    </row>
  </sheetData>
  <phoneticPr fontId="1" type="noConversion"/>
  <conditionalFormatting sqref="H2:H176">
    <cfRule priority="1" type="cellIs" operator="lessThan" dxfId="0">
      <formula>0</formula>
    </cfRule>
  </conditionalFormatting>
  <conditionalFormatting sqref="H2:H176">
    <cfRule priority="2" type="cellIs" operator="greaterThan" dxfId="1">
      <formula>0</formula>
    </cfRule>
  </conditionalFormatting>
  <conditionalFormatting sqref="K2:K176">
    <cfRule priority="1" type="cellIs" operator="lessThan" dxfId="0">
      <formula>0</formula>
    </cfRule>
  </conditionalFormatting>
  <conditionalFormatting sqref="K2:K176">
    <cfRule priority="2" type="cellIs" operator="greater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2026-04-23T16:04:42Z</dcterms:modified>
</cp:coreProperties>
</file>